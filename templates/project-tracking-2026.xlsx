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870" firstSheet="2" activeTab="3"/>
  </bookViews>
  <sheets>
    <sheet name="Sheet1" sheetId="1" state="hidden" r:id="rId1"/>
    <sheet name="填表说明" sheetId="2" r:id="rId2"/>
    <sheet name="项目预警风险汇总" sheetId="3" r:id="rId3"/>
    <sheet name="OT前置特批跟踪合同" sheetId="4" r:id="rId4"/>
    <sheet name="历史通用审批特批合同" sheetId="5" r:id="rId5"/>
    <sheet name="EMT前置特批拒绝合同" sheetId="6" r:id="rId6"/>
    <sheet name="商务部-采购明细" sheetId="7" state="hidden" r:id="rId7"/>
  </sheets>
  <definedNames>
    <definedName name="_xlnm._FilterDatabase" localSheetId="3" hidden="1">OT前置特批跟踪合同!$A$1:$AN$132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K2" authorId="0">
      <text>
        <r>
          <rPr>
            <sz val="9.75"/>
            <color rgb="FF000000"/>
            <rFont val="Calibri"/>
            <charset val="134"/>
          </rPr>
          <t>【特批事项】：
（1）纯外购软硬件不满足管控：指纯第三方外购软硬件项目不满足利润、收款等前置管控要求。
（2）纯第三方采购：指非纯外购软硬件的纯第三方项目，包括含外采技术服务项目
（3）垫资类项目（我司对第三方付款早于收款的情况）
（4）多层分包项目（指我司在签约链条中作为二级分包商之后角色）
（5）亏损项目</t>
        </r>
      </text>
    </comment>
    <comment ref="L2" authorId="0">
      <text>
        <r>
          <rPr>
            <sz val="9.75"/>
            <color rgb="FF000000"/>
            <rFont val="Calibri"/>
            <charset val="134"/>
          </rPr>
          <t>垫资：确定已经发生的实际垫资
垫资风险：未发生实际垫资，但是存在可能导致垫资的风险</t>
        </r>
      </text>
    </comment>
    <comment ref="R2" authorId="0">
      <text>
        <r>
          <rPr>
            <sz val="9.75"/>
            <color rgb="FF000000"/>
            <rFont val="Calibri"/>
            <charset val="134"/>
          </rPr>
          <t>已大签：合同已大签
未大签：商机正常跟踪中
取消：商机关闭（我司放弃、丢标等）</t>
        </r>
      </text>
    </comment>
    <comment ref="AA2" authorId="0">
      <text>
        <r>
          <rPr>
            <sz val="9.75"/>
            <color rgb="FF000000"/>
            <rFont val="Calibri"/>
            <charset val="134"/>
          </rPr>
          <t>AI-Xuan Lu:
由AR反馈当前项目回款执行的基本情况或问题，若无则正常执行</t>
        </r>
      </text>
    </comment>
    <comment ref="AF2" authorId="0">
      <text>
        <r>
          <rPr>
            <sz val="9.75"/>
            <color rgb="FF000000"/>
            <rFont val="Calibri"/>
            <charset val="134"/>
          </rPr>
          <t>AI-Xuan Lu:
由项目运营管理部反馈当期项目进展情况或分体，若无则正常执行</t>
        </r>
      </text>
    </comment>
    <comment ref="AJ2" authorId="0">
      <text>
        <r>
          <rPr>
            <sz val="9.75"/>
            <color rgb="FF000000"/>
            <rFont val="Calibri"/>
            <charset val="134"/>
          </rPr>
          <t>EDY:
由商务部反馈当期项目进展情况或分析，若无则正常执行</t>
        </r>
      </text>
    </comment>
  </commentList>
</comments>
</file>

<file path=xl/comments2.xml><?xml version="1.0" encoding="utf-8"?>
<comments xmlns="http://schemas.openxmlformats.org/spreadsheetml/2006/main">
  <authors>
    <author/>
  </authors>
  <commentList>
    <comment ref="G1" authorId="0">
      <text>
        <r>
          <rPr>
            <sz val="9.75"/>
            <color rgb="FF000000"/>
            <rFont val="Calibri"/>
            <charset val="134"/>
          </rPr>
          <t>【特批事项】：
（1）纯外购软硬件不满足管控：指纯第三方外购软硬件项目不满足利润、收款等前置管控要求。
（2）纯第三方采购：指非纯外购软硬件的纯第三方项目，包括含外采技术服务项目
（3）垫资类项目（我司对第三方付款早于收款的情况）
（4）多层分包项目（指我司在签约链条中作为二级分包商之后角色）
（5）亏损项目</t>
        </r>
      </text>
    </comment>
  </commentList>
</comments>
</file>

<file path=xl/comments3.xml><?xml version="1.0" encoding="utf-8"?>
<comments xmlns="http://schemas.openxmlformats.org/spreadsheetml/2006/main">
  <authors>
    <author/>
  </authors>
  <commentList>
    <comment ref="F2" authorId="0">
      <text>
        <r>
          <rPr>
            <sz val="10"/>
            <color rgb="FF000000"/>
            <rFont val="Calibri"/>
            <charset val="134"/>
          </rPr>
          <t>【特批事项】：
（1）纯外购软硬件不满足管控：指纯第三方外购软硬件项目不满足利润、收款等前置管控要求。
（2）纯第三方采购：指非纯外购软硬件的纯第三方项目，包括含外采技术服务项目
（3）垫资类项目（我司对第三方付款早于收款的情况）
（4）多层分包项目（指我司在签约链条中作为二级分包商之后角色）
（5）亏损项目</t>
        </r>
      </text>
    </comment>
  </commentList>
</comments>
</file>

<file path=xl/sharedStrings.xml><?xml version="1.0" encoding="utf-8"?>
<sst xmlns="http://schemas.openxmlformats.org/spreadsheetml/2006/main" count="3757" uniqueCount="1501">
  <si>
    <t>2025年</t>
  </si>
  <si>
    <t>销售BU</t>
  </si>
  <si>
    <t>EMT通过</t>
  </si>
  <si>
    <t>通用审批</t>
  </si>
  <si>
    <t>EMT拒绝</t>
  </si>
  <si>
    <t>BSC</t>
  </si>
  <si>
    <t>DNC</t>
  </si>
  <si>
    <t>CUC</t>
  </si>
  <si>
    <t>高德红外一体机，上会通过未投标</t>
  </si>
  <si>
    <t>CTC</t>
  </si>
  <si>
    <t>ACC</t>
  </si>
  <si>
    <t>CEC</t>
  </si>
  <si>
    <t>汇总</t>
  </si>
  <si>
    <r>
      <rPr>
        <b/>
        <sz val="12"/>
        <color rgb="FF000000"/>
        <rFont val="Calibri"/>
        <charset val="134"/>
      </rPr>
      <t>一、制表目的</t>
    </r>
    <r>
      <rPr>
        <sz val="12"/>
        <color rgb="FF000000"/>
        <rFont val="Calibri"/>
        <charset val="134"/>
      </rPr>
      <t>：</t>
    </r>
  </si>
  <si>
    <t>1）方便对EMT前置特批项目进行及时跟踪，便于及时发现问题并推动解决。</t>
  </si>
  <si>
    <t>2）对事业部特批时进行的承诺（GM、可持续性、回款进度、风险把控等）进行持续性跟踪，确保审批效力，巩固项目真实性。</t>
  </si>
  <si>
    <t>3）为后续优化特批规则并为特批提供决策依据。</t>
  </si>
  <si>
    <t>二、《OT前置特批项目跟踪表》填写说明</t>
  </si>
  <si>
    <r>
      <rPr>
        <b/>
        <sz val="12"/>
        <color rgb="FF000000"/>
        <rFont val="Calibri"/>
        <charset val="134"/>
      </rPr>
      <t>1、统计范围：</t>
    </r>
    <r>
      <rPr>
        <sz val="12"/>
        <color rgb="FF000000"/>
        <rFont val="Calibri"/>
        <charset val="134"/>
      </rPr>
      <t>上报EMT且通过的项目，包括现场上会审批通过、系统线上审批通过；不包括【通用审批】或者线下邮件方式特批至黄总申请不再上EMT的灵活执行项目；</t>
    </r>
  </si>
  <si>
    <r>
      <rPr>
        <b/>
        <sz val="12"/>
        <color rgb="FF000000"/>
        <rFont val="Calibri"/>
        <charset val="134"/>
      </rPr>
      <t>2、填写时间：</t>
    </r>
    <r>
      <rPr>
        <sz val="12"/>
        <color rgb="FF000000"/>
        <rFont val="Calibri"/>
        <charset val="134"/>
      </rPr>
      <t>上报EMT且通过的项目，销售运营管理员填写附件中的跟踪表，每月进行特批更新并对已签约项目进行跟踪</t>
    </r>
  </si>
  <si>
    <t>3、更新时间及安排：</t>
  </si>
  <si>
    <r>
      <rPr>
        <sz val="12"/>
        <color rgb="FF000000"/>
        <rFont val="Calibri"/>
        <charset val="134"/>
      </rPr>
      <t xml:space="preserve">① </t>
    </r>
    <r>
      <rPr>
        <b/>
        <sz val="12"/>
        <color rgb="FF000000"/>
        <rFont val="Calibri"/>
        <charset val="134"/>
      </rPr>
      <t>【及时更新】</t>
    </r>
    <r>
      <rPr>
        <sz val="12"/>
        <color rgb="FF000000"/>
        <rFont val="Calibri"/>
        <charset val="134"/>
      </rPr>
      <t>销管部整理清单——每月行业负责人收到上会项目信息后应及时更新至跟踪表，每月第1个工作日由专人发送汇总邮件进行提醒，当天完成汇总。
② 【</t>
    </r>
    <r>
      <rPr>
        <b/>
        <sz val="12"/>
        <color rgb="FF000000"/>
        <rFont val="Calibri"/>
        <charset val="134"/>
      </rPr>
      <t>第1-3工作日】</t>
    </r>
    <r>
      <rPr>
        <sz val="12"/>
        <color rgb="FF000000"/>
        <rFont val="Calibri"/>
        <charset val="134"/>
      </rPr>
      <t>事业部运营填写最新项目进展及问题情况——每月第1个工作日发送给事业部进行项目更新，事业部第3个工作日反馈。
③</t>
    </r>
    <r>
      <rPr>
        <b/>
        <sz val="12"/>
        <color rgb="FF000000"/>
        <rFont val="Calibri"/>
        <charset val="134"/>
      </rPr>
      <t xml:space="preserve"> 【第1-5工作日】</t>
    </r>
    <r>
      <rPr>
        <sz val="12"/>
        <color rgb="FF000000"/>
        <rFont val="Calibri"/>
        <charset val="134"/>
      </rPr>
      <t xml:space="preserve">项目管理、AR管理、商务补充管理信息——每月第1个工作日发送给后台相关部门补全项目进度，后台同事第5个工作日反馈。
④ </t>
    </r>
    <r>
      <rPr>
        <b/>
        <sz val="12"/>
        <color rgb="FF000000"/>
        <rFont val="Calibri"/>
        <charset val="134"/>
      </rPr>
      <t>【第5个工作日】</t>
    </r>
    <r>
      <rPr>
        <sz val="12"/>
        <color rgb="FF000000"/>
        <rFont val="Calibri"/>
        <charset val="134"/>
      </rPr>
      <t xml:space="preserve">事业部补充解决方案或修订风险状态（若需要）——每月第5个工作日进行反馈。
⑤ </t>
    </r>
    <r>
      <rPr>
        <b/>
        <sz val="12"/>
        <color rgb="FF000000"/>
        <rFont val="Calibri"/>
        <charset val="134"/>
      </rPr>
      <t>【第6-7个工作日】</t>
    </r>
    <r>
      <rPr>
        <sz val="12"/>
        <color rgb="FF000000"/>
        <rFont val="Calibri"/>
        <charset val="134"/>
      </rPr>
      <t>销管部总结项目整体情况——每月第6-7个工作日经分会文件提交前完成汇总情况。</t>
    </r>
  </si>
  <si>
    <t>3、填写字段释义</t>
  </si>
  <si>
    <r>
      <rPr>
        <b/>
        <sz val="12"/>
        <color rgb="FF000000"/>
        <rFont val="Calibri"/>
        <charset val="134"/>
      </rPr>
      <t>【项目跟踪状态】</t>
    </r>
    <r>
      <rPr>
        <sz val="12"/>
        <color rgb="FF000000"/>
        <rFont val="Calibri"/>
        <charset val="134"/>
      </rPr>
      <t>：</t>
    </r>
  </si>
  <si>
    <t>1、跟踪中：处于项目执行中需持续跟踪项目进展。</t>
  </si>
  <si>
    <t xml:space="preserve">2、跟踪完毕：经跟踪反馈因项目取消等原因导致承诺无法达成的，正常跟踪结束的，不需要继续跟踪。   </t>
  </si>
  <si>
    <t xml:space="preserve">3、尚未开始跟踪：项目尚未签约故暂无需跟踪进程。   </t>
  </si>
  <si>
    <r>
      <rPr>
        <sz val="12"/>
        <color rgb="FF000000"/>
        <rFont val="Calibri"/>
        <charset val="134"/>
      </rPr>
      <t>【</t>
    </r>
    <r>
      <rPr>
        <b/>
        <sz val="12"/>
        <color rgb="FF000000"/>
        <rFont val="Calibri"/>
        <charset val="134"/>
      </rPr>
      <t>项目综合评述</t>
    </r>
    <r>
      <rPr>
        <sz val="12"/>
        <color rgb="FF000000"/>
        <rFont val="Calibri"/>
        <charset val="134"/>
      </rPr>
      <t>】：</t>
    </r>
  </si>
  <si>
    <t>由销售运营管理专员根据事业部反馈情况及后台部门反馈问题，综合汇总项目整体进展是正常还是有问题，若有问题具体为什么问题？若事业部有解决方案也同步归纳在此。</t>
  </si>
  <si>
    <t>三、OT前置特批拒绝项目跟踪表》填写说明</t>
  </si>
  <si>
    <r>
      <rPr>
        <b/>
        <sz val="12"/>
        <color rgb="FF000000"/>
        <rFont val="Calibri"/>
        <charset val="134"/>
      </rPr>
      <t>1、填写时间：</t>
    </r>
    <r>
      <rPr>
        <sz val="12"/>
        <color rgb="FF000000"/>
        <rFont val="Calibri"/>
        <charset val="134"/>
      </rPr>
      <t>上报EMT并拒接的项目，销售运营管理员填写附件中的汇总表。</t>
    </r>
  </si>
  <si>
    <t>四、《OT前置特批拒绝项目跟踪表》填写说明</t>
  </si>
  <si>
    <r>
      <rPr>
        <b/>
        <sz val="12"/>
        <color rgb="FF000000"/>
        <rFont val="Calibri"/>
        <charset val="134"/>
      </rPr>
      <t>1、填写时间：通用审批特批通过的合同</t>
    </r>
    <r>
      <rPr>
        <sz val="12"/>
        <color rgb="FF000000"/>
        <rFont val="Calibri"/>
        <charset val="134"/>
      </rPr>
      <t>，销售运营管理员填写附件中的汇总表。</t>
    </r>
  </si>
  <si>
    <r>
      <rPr>
        <b/>
        <sz val="9.75"/>
        <color rgb="FF1F497D"/>
        <rFont val="Calibri"/>
        <charset val="134"/>
      </rPr>
      <t>BU</t>
    </r>
  </si>
  <si>
    <t>EMT在途跟踪</t>
  </si>
  <si>
    <t>回款问题</t>
  </si>
  <si>
    <t>交付问题</t>
  </si>
  <si>
    <t>备注</t>
  </si>
  <si>
    <t>合同金额</t>
  </si>
  <si>
    <t>数量</t>
  </si>
  <si>
    <t>应收金额</t>
  </si>
  <si>
    <t>CMB</t>
  </si>
  <si>
    <t>1、主要为贵州移动国产算力池建设纯外采项目预付款应收</t>
  </si>
  <si>
    <t>CMD</t>
  </si>
  <si>
    <t>1、应收主要为浪潮订单，3月新增部分新签订单预付款，以及部分订单到货验收款；</t>
  </si>
  <si>
    <t>1、平煤项目，有背靠背应收，终验款逐步回款中</t>
  </si>
  <si>
    <t>1、两笔预付款应收；</t>
  </si>
  <si>
    <t>AID</t>
  </si>
  <si>
    <t>1、垫资回款逾期：黑龙江广电项目、四川中电启明星项目、申通地铁三期增补项目、申通地铁三期二次增补、申通地铁四期；
2、郑州城市大脑医疗项目停滞</t>
  </si>
  <si>
    <t>CSC</t>
  </si>
  <si>
    <t>/</t>
  </si>
  <si>
    <t>1、回款逾期：甘肃广电维保项目，本期测收在27年</t>
  </si>
  <si>
    <t>ESU</t>
  </si>
  <si>
    <t>1、蒙东矿建国能雁宝矿区5G专网建设项目，初验款回款超垫资承诺（原AID项目转）</t>
  </si>
  <si>
    <r>
      <rPr>
        <sz val="9.75"/>
        <color rgb="FF1F497D"/>
        <rFont val="Calibri"/>
        <charset val="134"/>
      </rPr>
      <t>合计</t>
    </r>
  </si>
  <si>
    <t>基本信息</t>
  </si>
  <si>
    <t>项目整体情况</t>
  </si>
  <si>
    <t>签约跟踪</t>
  </si>
  <si>
    <t>回款执行跟踪</t>
  </si>
  <si>
    <t>交付执行跟踪</t>
  </si>
  <si>
    <t>供应商交付执行跟踪</t>
  </si>
  <si>
    <t>事业部跟踪反馈</t>
  </si>
  <si>
    <t>项目跟踪状态</t>
  </si>
  <si>
    <t>更新时间</t>
  </si>
  <si>
    <t>序号</t>
  </si>
  <si>
    <t>销售区域</t>
  </si>
  <si>
    <t>销售经理</t>
  </si>
  <si>
    <t>项目名称</t>
  </si>
  <si>
    <t>签约客户</t>
  </si>
  <si>
    <t>最终用户（如有）</t>
  </si>
  <si>
    <t>特批事项</t>
  </si>
  <si>
    <t>垫资情况</t>
  </si>
  <si>
    <t>项目综合评述</t>
  </si>
  <si>
    <t>项目当前问题</t>
  </si>
  <si>
    <t>合同形式</t>
  </si>
  <si>
    <t>签约合同金额(CNY)</t>
  </si>
  <si>
    <t>线上审批
GM1</t>
  </si>
  <si>
    <t>签约状态</t>
  </si>
  <si>
    <t>大签日期</t>
  </si>
  <si>
    <t>项目代码</t>
  </si>
  <si>
    <t>款项分布</t>
  </si>
  <si>
    <t>累计到款</t>
  </si>
  <si>
    <t>应收款款项名称</t>
  </si>
  <si>
    <t>应收日期</t>
  </si>
  <si>
    <t>应收款（如有）测收日期</t>
  </si>
  <si>
    <t>回款分析说明</t>
  </si>
  <si>
    <t>项目状态</t>
  </si>
  <si>
    <t>当前里程碑阶段</t>
  </si>
  <si>
    <t>当前里程碑计划完成时间</t>
  </si>
  <si>
    <t>挂牌阶段</t>
  </si>
  <si>
    <t>交付分析说明</t>
  </si>
  <si>
    <t>采购合同</t>
  </si>
  <si>
    <t>采购合同付款节奏</t>
  </si>
  <si>
    <t>累计已付款</t>
  </si>
  <si>
    <t>采购分析说明</t>
  </si>
  <si>
    <t>事业部承诺条款</t>
  </si>
  <si>
    <t>承诺条款达成进展</t>
  </si>
  <si>
    <t>项目最新进展</t>
  </si>
  <si>
    <t>跟踪中</t>
  </si>
  <si>
    <t>刘海洁</t>
  </si>
  <si>
    <t>霍邱智慧云医院增补项目</t>
  </si>
  <si>
    <t>阿里云计算有限公司</t>
  </si>
  <si>
    <t xml:space="preserve"> 霍邱第一人民医院</t>
  </si>
  <si>
    <t>纯技术转包</t>
  </si>
  <si>
    <t>无</t>
  </si>
  <si>
    <t>12月已完成终验，交付完成。2月试运行款5%已回。剩余5%终验尾款背靠背持续跟踪中。
属于纯技术转包项目，已完成终验；</t>
  </si>
  <si>
    <t>单独合同</t>
  </si>
  <si>
    <t>已大签</t>
  </si>
  <si>
    <t>1BJ233321A</t>
  </si>
  <si>
    <t>首付款90%|终验款5%|尾款5%</t>
  </si>
  <si>
    <t>在建</t>
  </si>
  <si>
    <t>项目交付完成，26年12月关闭。</t>
  </si>
  <si>
    <t>已签</t>
  </si>
  <si>
    <t>背对背支付</t>
  </si>
  <si>
    <t>合同已签署，已支付198,400.00+89,600.00</t>
  </si>
  <si>
    <t>10月已拿到终验报告</t>
  </si>
  <si>
    <t>背靠背回款延期；5%试运行款2月已回款，剩余尾款5%。
该项目是霍邱项目的增补，目前霍邱项目已完成合同条款变更，第三次款441万3月初已收回，第四次付款中部分款62万于4月15日已收回，增补8月已回首付款20.98万，26年1月回款1.692万、2月回款9.4752万，剩余尾款5%持续催收中。</t>
  </si>
  <si>
    <t>跟踪结束</t>
  </si>
  <si>
    <t>刘婵</t>
  </si>
  <si>
    <t>智能双录质检系统一期增补项目软件开发合同</t>
  </si>
  <si>
    <t>北京字跳网络技术有限公司</t>
  </si>
  <si>
    <t>中原银行股份有限公司</t>
  </si>
  <si>
    <t>已回款验收，跟踪结束</t>
  </si>
  <si>
    <t>1BJ232427A</t>
  </si>
  <si>
    <t>预付款30%|验收款30%|尾款40%</t>
  </si>
  <si>
    <t xml:space="preserve"> - </t>
  </si>
  <si>
    <t>已结清</t>
  </si>
  <si>
    <t>关闭</t>
  </si>
  <si>
    <t>已支付100%</t>
  </si>
  <si>
    <t>项目已竣工及全额回款</t>
  </si>
  <si>
    <t>王荣一</t>
  </si>
  <si>
    <t>2023年1季度互联网带宽资源采购框架及结算单</t>
  </si>
  <si>
    <t>中国广电黑龙江网络股份有限公司</t>
  </si>
  <si>
    <t>纯第三方采购、垫资、黑名单</t>
  </si>
  <si>
    <t>垫资</t>
  </si>
  <si>
    <t>框架签署完成</t>
  </si>
  <si>
    <t>1BJ232131A</t>
  </si>
  <si>
    <t>框架</t>
  </si>
  <si>
    <t>合同签订后支付6个月银票</t>
  </si>
  <si>
    <t>框架已大签</t>
  </si>
  <si>
    <t>黑龙江广电结算单1</t>
  </si>
  <si>
    <t>已回款，跟踪结束</t>
  </si>
  <si>
    <t>1BJ232168A</t>
  </si>
  <si>
    <t>结算款100%</t>
  </si>
  <si>
    <t>项目已完成签约计收并已全额回款</t>
  </si>
  <si>
    <t>黑龙江广电结算单2</t>
  </si>
  <si>
    <t>1BJ232169A</t>
  </si>
  <si>
    <t>黑龙江广电结算单3</t>
  </si>
  <si>
    <t>1BJ232170A</t>
  </si>
  <si>
    <t xml:space="preserve"> 2023-11-30 </t>
  </si>
  <si>
    <t>项目已完成签约计收，3月结算单75万已收回。</t>
  </si>
  <si>
    <t>2023年2-4季度互联网带宽资源采购结算单框架</t>
  </si>
  <si>
    <t>1BJ232979A</t>
  </si>
  <si>
    <t>项目已完成签约计收</t>
  </si>
  <si>
    <t>黑龙江广电结算单4</t>
  </si>
  <si>
    <r>
      <t>本月无明确进展；垫资回款逾期，案件已立案。1月收到回款41.3568万；本版应收测收延迟至27年；</t>
    </r>
    <r>
      <rPr>
        <sz val="10"/>
        <color rgb="FF000000"/>
        <rFont val="等线"/>
        <charset val="134"/>
        <scheme val="minor"/>
      </rPr>
      <t xml:space="preserve">
结算单4累计回款490万，目前每月回款几十万不等，但无法保证回款金额；
大额垫资项目，目前应收结算单4-12月，总应收金额约4352万，当前黑龙江广电资金状况较差，事业部已派遣专人至客户现场催款。目前每月回款几十万不等，但无法保证回款金额；同时我司面临下游供应商催款，有可能涉及诉讼，</t>
    </r>
  </si>
  <si>
    <t>垫资回款逾期</t>
  </si>
  <si>
    <t>结算单</t>
  </si>
  <si>
    <t>1BJ233062A</t>
  </si>
  <si>
    <t xml:space="preserve"> 结算款100% </t>
  </si>
  <si>
    <t>结算款</t>
  </si>
  <si>
    <t>2023/12/31</t>
  </si>
  <si>
    <t>垫资逾期：黑，风险预警：已逾期，甲方已被列入限高，后续回款风险较大；测收又延后</t>
  </si>
  <si>
    <t>开具6个月银票</t>
  </si>
  <si>
    <t>已完成开票</t>
  </si>
  <si>
    <t xml:space="preserve">案件已立案并收到传票，2026年1月14日开庭。1月收到回款41.3568万；
大额垫资项目，目前项目上游回款困难，同时面临下游供应商催款。目前事业部已派遣专人刘海洁至客户现场催款，事业部反馈最新进展，甲方将陆续依据账户余额向我司打款，但不能保证打款金额。正在准备起诉讼资料中
</t>
  </si>
  <si>
    <t>黑龙江广电结算单5</t>
  </si>
  <si>
    <t>1BJ233326A</t>
  </si>
  <si>
    <t>2024/1/31</t>
  </si>
  <si>
    <t>垫资逾期：黑，</t>
  </si>
  <si>
    <t>黑龙江广电结算单6</t>
  </si>
  <si>
    <t>1BJ234257A</t>
  </si>
  <si>
    <t>2024/2/29</t>
  </si>
  <si>
    <t>黑龙江广电结算单7</t>
  </si>
  <si>
    <t>1BJ234877A</t>
  </si>
  <si>
    <t>2024-03-31</t>
  </si>
  <si>
    <t>黑龙江广电结算单8</t>
  </si>
  <si>
    <t>1BJ235737A</t>
  </si>
  <si>
    <t>2024/4/30</t>
  </si>
  <si>
    <t>黑龙江广电结算单9</t>
  </si>
  <si>
    <t>1BJ236470A</t>
  </si>
  <si>
    <t>2024/5/31</t>
  </si>
  <si>
    <t>黑龙江广电结算单10</t>
  </si>
  <si>
    <t>1BJ237110A</t>
  </si>
  <si>
    <t>2024/6/30</t>
  </si>
  <si>
    <t>结算合同已签署但未支付</t>
  </si>
  <si>
    <t>黑龙江广电结算单11</t>
  </si>
  <si>
    <t>1BJ237578A</t>
  </si>
  <si>
    <t>2024/7/31</t>
  </si>
  <si>
    <t>后续款项正在催收中</t>
  </si>
  <si>
    <t>黑龙江广电结算单12</t>
  </si>
  <si>
    <t>1BJ240384A</t>
  </si>
  <si>
    <t>2024/8/31</t>
  </si>
  <si>
    <t>外采服务合同未签署</t>
  </si>
  <si>
    <t>待签</t>
  </si>
  <si>
    <t>未签约</t>
  </si>
  <si>
    <t>结算合同未签署</t>
  </si>
  <si>
    <t>采购合同还未签约</t>
  </si>
  <si>
    <t>李欢</t>
  </si>
  <si>
    <t>郑州城市大脑医疗板块-医院对接项目</t>
  </si>
  <si>
    <t>郑州市卫生健康委员会</t>
  </si>
  <si>
    <r>
      <t>因涉及更换下游供应商，当前已与供应商完成签署终止合同，与新供应商签署采购合同流程中；</t>
    </r>
    <r>
      <rPr>
        <sz val="10"/>
        <color rgb="FF000000"/>
        <rFont val="等线"/>
        <charset val="134"/>
        <scheme val="minor"/>
      </rPr>
      <t xml:space="preserve">
竣工验收受阻，挂牌黑牌33，目前项目停滞中。（阿里做项目核减中，等待阿里反馈信息）
项目仅回30%首付款，初验款及终验款共50%款项阿里还未收到。</t>
    </r>
  </si>
  <si>
    <t>背靠背应收、项目停滞</t>
  </si>
  <si>
    <t>1BJ228025A</t>
  </si>
  <si>
    <t>首付款30%|初验款25%|终验款25%|验收款15%|五次付款2%|六次付款2%|七次付款1%</t>
  </si>
  <si>
    <t>仅回首付款</t>
  </si>
  <si>
    <t>停滞</t>
  </si>
  <si>
    <t>竣工验收</t>
  </si>
  <si>
    <t>黑牌33</t>
  </si>
  <si>
    <t>纯技术外包项目，涉及更换下游供应商，竣工验收受阻。还需要沟通协商更换供应商事宜。目前项目停滞。</t>
  </si>
  <si>
    <t>合同已经签署背靠背支付了第一笔30%款项
已经与供应商签署终止协议，剩余金额需要重新与新的供应商签署，已完成EMT，正在签署外采合同</t>
  </si>
  <si>
    <t>已终验，推动回款中，已经与供应商签署终止协议，剩余金额需要重新与新的供应商签署，已完成EMT，正在签署外采合同</t>
  </si>
  <si>
    <t>李玲</t>
  </si>
  <si>
    <t>中国石油管道局工程有限公司设计院统一认证产品及实施项目</t>
  </si>
  <si>
    <t>中国石油天然气管道工程有限公司</t>
  </si>
  <si>
    <t>1NJ228357A</t>
  </si>
  <si>
    <t>首付款45%|二次付款50%|尾款5%</t>
  </si>
  <si>
    <t>项目实际交付工作已经全部完成，项目于2024-03-31关闭</t>
  </si>
  <si>
    <t>项目维保期已结束并全额回款</t>
  </si>
  <si>
    <t>CU-北方政企市场部业务三部</t>
  </si>
  <si>
    <t>张科勃</t>
  </si>
  <si>
    <t>平煤股份煤炭产品装车、计量、质检系统改造项目</t>
  </si>
  <si>
    <t>郑州景行电子科技有限公司、中赟国际工程有限公司</t>
  </si>
  <si>
    <t>平顶山天安煤业股份有限公司</t>
  </si>
  <si>
    <t>非白名单客户背靠背付款无预付</t>
  </si>
  <si>
    <t>背靠背应收逐步回款中；
其中两个合同已回款90%，剩余一个合同的终验款逐步回款中。</t>
  </si>
  <si>
    <t>应收</t>
  </si>
  <si>
    <t>1BJ232519A</t>
  </si>
  <si>
    <t>到货款30%|验收款60%|尾款10%</t>
  </si>
  <si>
    <t>终验后1年</t>
  </si>
  <si>
    <t>项目24年7月完成终验，预计25年完成保修期满确认</t>
  </si>
  <si>
    <t>到货后60天付全款</t>
  </si>
  <si>
    <t>仅涉及一体化产品采购，已交付完成，支付完成</t>
  </si>
  <si>
    <t>全部达成</t>
  </si>
  <si>
    <t>项目已完成验收，客户每月做回款预算，此项目已回款90%，仅剩余尾款。</t>
  </si>
  <si>
    <t>1BJ231640A</t>
  </si>
  <si>
    <t>不涉及采购</t>
  </si>
  <si>
    <t>1BJ227699A</t>
  </si>
  <si>
    <t>背靠背应收，验收款逐步回款中</t>
  </si>
  <si>
    <t>项目已完成验收，客户每月做回款预算，此项目已回款41%，终验款正在逐步回款中。</t>
  </si>
  <si>
    <t>慕建</t>
  </si>
  <si>
    <t>上海地铁申通三期</t>
  </si>
  <si>
    <t>联想新视界（北京）科技有限公司</t>
  </si>
  <si>
    <t>上海申通地铁集团有限公司</t>
  </si>
  <si>
    <t>垫资、纯第三方采购</t>
  </si>
  <si>
    <r>
      <t xml:space="preserve">本月无明确进展；大额垫资项目，应收金额3423万元，未能达成25年12月回50%尾款承诺，目前测收延迟在27年，逾期严重。
</t>
    </r>
    <r>
      <rPr>
        <sz val="10"/>
        <color rgb="FF000000"/>
        <rFont val="等线"/>
        <charset val="134"/>
        <scheme val="minor"/>
      </rPr>
      <t xml:space="preserve">
按承诺24年12月已回首付款50%。供应商款已支付完成。</t>
    </r>
  </si>
  <si>
    <t>1ZB234043A</t>
  </si>
  <si>
    <t>首付款50%|尾款50%</t>
  </si>
  <si>
    <t xml:space="preserve"> 尾款 </t>
  </si>
  <si>
    <t>2025-10-15</t>
  </si>
  <si>
    <t>垫资逾期：红；垫资承诺回款时间：25年12月
回款尾款预测在2610</t>
  </si>
  <si>
    <t>已完成</t>
  </si>
  <si>
    <t>非背对背支付：
1，知鱼智联科技股份有限公司：
合同签订开具60%金额的银行承兑汇票式（承兑期不超过180天），交付安装后，开具40%金额的银行承兑汇票式（承兑期不超过180天）
2，天津创界点新型材料有限公司：
合同签订开具60%金额的银行承兑汇票式（承兑期不超过180天），交付安装后，开具40%金额的银行承兑汇票式（承兑期不超过180天）</t>
  </si>
  <si>
    <t>支付完成</t>
  </si>
  <si>
    <t>24年12月回首付款50%，25年12月回尾款50%</t>
  </si>
  <si>
    <t>24年10月、12月已完成回首付款</t>
  </si>
  <si>
    <t>首付款已回</t>
  </si>
  <si>
    <t>四川中电启明星辰云灾备项目</t>
  </si>
  <si>
    <t>四川中电启明星信息技术有限公司</t>
  </si>
  <si>
    <t>纯外采—采购付款非背靠背</t>
  </si>
  <si>
    <r>
      <t>大额垫资逾期；应收余额约</t>
    </r>
    <r>
      <rPr>
        <sz val="10"/>
        <color rgb="FFFF0000"/>
        <rFont val="Calibri"/>
        <charset val="134"/>
      </rPr>
      <t>986.7</t>
    </r>
    <r>
      <rPr>
        <sz val="10"/>
        <color rgb="FFFF0000"/>
        <rFont val="宋体"/>
        <charset val="134"/>
      </rPr>
      <t>万元；</t>
    </r>
    <r>
      <rPr>
        <sz val="10"/>
        <color rgb="FFFF0000"/>
        <rFont val="Calibri"/>
        <charset val="134"/>
      </rPr>
      <t>25</t>
    </r>
    <r>
      <rPr>
        <sz val="10"/>
        <color rgb="FFFF0000"/>
        <rFont val="宋体"/>
        <charset val="134"/>
      </rPr>
      <t>年</t>
    </r>
    <r>
      <rPr>
        <sz val="10"/>
        <color rgb="FFFF0000"/>
        <rFont val="Calibri"/>
        <charset val="134"/>
      </rPr>
      <t>8</t>
    </r>
    <r>
      <rPr>
        <sz val="10"/>
        <color rgb="FFFF0000"/>
        <rFont val="宋体"/>
        <charset val="134"/>
      </rPr>
      <t>月至今无回款。事业部反馈预计5-6月开庭。</t>
    </r>
    <r>
      <rPr>
        <sz val="10"/>
        <color rgb="FFFF0000"/>
        <rFont val="Calibri"/>
        <charset val="134"/>
      </rPr>
      <t xml:space="preserve">
</t>
    </r>
    <r>
      <rPr>
        <sz val="10"/>
        <color rgb="FF000000"/>
        <rFont val="宋体"/>
        <charset val="134"/>
      </rPr>
      <t>事业部反馈已向法院提交立案材料，立案流程中。</t>
    </r>
    <r>
      <rPr>
        <sz val="10"/>
        <color rgb="FF000000"/>
        <rFont val="Calibri"/>
        <charset val="134"/>
      </rPr>
      <t xml:space="preserve">
</t>
    </r>
    <r>
      <rPr>
        <sz val="10"/>
        <color rgb="FF000000"/>
        <rFont val="宋体"/>
        <charset val="134"/>
      </rPr>
      <t>担保方上海数腾公司</t>
    </r>
    <r>
      <rPr>
        <sz val="10"/>
        <color rgb="FF000000"/>
        <rFont val="Calibri"/>
        <charset val="134"/>
      </rPr>
      <t>2</t>
    </r>
    <r>
      <rPr>
        <sz val="10"/>
        <color rgb="FF000000"/>
        <rFont val="宋体"/>
        <charset val="134"/>
      </rPr>
      <t>月出具付款计划文件于</t>
    </r>
    <r>
      <rPr>
        <sz val="10"/>
        <color rgb="FF000000"/>
        <rFont val="Calibri"/>
        <charset val="134"/>
      </rPr>
      <t>2</t>
    </r>
    <r>
      <rPr>
        <sz val="10"/>
        <color rgb="FF000000"/>
        <rFont val="宋体"/>
        <charset val="134"/>
      </rPr>
      <t>月</t>
    </r>
    <r>
      <rPr>
        <sz val="10"/>
        <color rgb="FF000000"/>
        <rFont val="Calibri"/>
        <charset val="134"/>
      </rPr>
      <t>-5</t>
    </r>
    <r>
      <rPr>
        <sz val="10"/>
        <color rgb="FF000000"/>
        <rFont val="宋体"/>
        <charset val="134"/>
      </rPr>
      <t>月支付剩余货款及</t>
    </r>
    <r>
      <rPr>
        <sz val="10"/>
        <color rgb="FF000000"/>
        <rFont val="Calibri"/>
        <charset val="134"/>
      </rPr>
      <t>72</t>
    </r>
    <r>
      <rPr>
        <sz val="10"/>
        <color rgb="FF000000"/>
        <rFont val="宋体"/>
        <charset val="134"/>
      </rPr>
      <t>万垫资费用，根据合同中逾期付款违约金约定，补偿我司共计约</t>
    </r>
    <r>
      <rPr>
        <sz val="10"/>
        <color rgb="FF000000"/>
        <rFont val="Calibri"/>
        <charset val="134"/>
      </rPr>
      <t>72</t>
    </r>
    <r>
      <rPr>
        <sz val="10"/>
        <color rgb="FF000000"/>
        <rFont val="宋体"/>
        <charset val="134"/>
      </rPr>
      <t>万垫资费用；付款计划：</t>
    </r>
    <r>
      <rPr>
        <sz val="10"/>
        <color rgb="FF000000"/>
        <rFont val="Calibri"/>
        <charset val="134"/>
      </rPr>
      <t>2</t>
    </r>
    <r>
      <rPr>
        <sz val="10"/>
        <color rgb="FF000000"/>
        <rFont val="宋体"/>
        <charset val="134"/>
      </rPr>
      <t>月支付垫资费用</t>
    </r>
    <r>
      <rPr>
        <sz val="10"/>
        <color rgb="FF000000"/>
        <rFont val="Calibri"/>
        <charset val="134"/>
      </rPr>
      <t xml:space="preserve">
50</t>
    </r>
    <r>
      <rPr>
        <sz val="10"/>
        <color rgb="FF000000"/>
        <rFont val="宋体"/>
        <charset val="134"/>
      </rPr>
      <t>万，</t>
    </r>
    <r>
      <rPr>
        <sz val="10"/>
        <color rgb="FF000000"/>
        <rFont val="Calibri"/>
        <charset val="134"/>
      </rPr>
      <t>3</t>
    </r>
    <r>
      <rPr>
        <sz val="10"/>
        <color rgb="FF000000"/>
        <rFont val="宋体"/>
        <charset val="134"/>
      </rPr>
      <t>月支付货款约</t>
    </r>
    <r>
      <rPr>
        <sz val="10"/>
        <color rgb="FF000000"/>
        <rFont val="Calibri"/>
        <charset val="134"/>
      </rPr>
      <t>177.5</t>
    </r>
    <r>
      <rPr>
        <sz val="10"/>
        <color rgb="FF000000"/>
        <rFont val="宋体"/>
        <charset val="134"/>
      </rPr>
      <t>万</t>
    </r>
    <r>
      <rPr>
        <sz val="10"/>
        <color rgb="FF000000"/>
        <rFont val="Calibri"/>
        <charset val="134"/>
      </rPr>
      <t>+</t>
    </r>
    <r>
      <rPr>
        <sz val="10"/>
        <color rgb="FF000000"/>
        <rFont val="宋体"/>
        <charset val="134"/>
      </rPr>
      <t>垫资费用约</t>
    </r>
    <r>
      <rPr>
        <sz val="10"/>
        <color rgb="FF000000"/>
        <rFont val="Calibri"/>
        <charset val="134"/>
      </rPr>
      <t>22.5</t>
    </r>
    <r>
      <rPr>
        <sz val="10"/>
        <color rgb="FF000000"/>
        <rFont val="宋体"/>
        <charset val="134"/>
      </rPr>
      <t>万，</t>
    </r>
    <r>
      <rPr>
        <sz val="10"/>
        <color rgb="FF000000"/>
        <rFont val="Calibri"/>
        <charset val="134"/>
      </rPr>
      <t>4</t>
    </r>
    <r>
      <rPr>
        <sz val="10"/>
        <color rgb="FF000000"/>
        <rFont val="宋体"/>
        <charset val="134"/>
      </rPr>
      <t>月支付货款</t>
    </r>
    <r>
      <rPr>
        <sz val="10"/>
        <color rgb="FF000000"/>
        <rFont val="Calibri"/>
        <charset val="134"/>
      </rPr>
      <t>636.7</t>
    </r>
    <r>
      <rPr>
        <sz val="10"/>
        <color rgb="FF000000"/>
        <rFont val="宋体"/>
        <charset val="134"/>
      </rPr>
      <t>万，</t>
    </r>
    <r>
      <rPr>
        <sz val="10"/>
        <color rgb="FF000000"/>
        <rFont val="Calibri"/>
        <charset val="134"/>
      </rPr>
      <t>5</t>
    </r>
    <r>
      <rPr>
        <sz val="10"/>
        <color rgb="FF000000"/>
        <rFont val="宋体"/>
        <charset val="134"/>
      </rPr>
      <t>月支付货款约</t>
    </r>
    <r>
      <rPr>
        <sz val="10"/>
        <color rgb="FF000000"/>
        <rFont val="Calibri"/>
        <charset val="134"/>
      </rPr>
      <t>292.5</t>
    </r>
    <r>
      <rPr>
        <sz val="10"/>
        <color rgb="FF000000"/>
        <rFont val="宋体"/>
        <charset val="134"/>
      </rPr>
      <t>万。</t>
    </r>
  </si>
  <si>
    <t>1BJ233361A</t>
  </si>
  <si>
    <t>预付款10%|到货款90%</t>
  </si>
  <si>
    <t>到货验收款</t>
  </si>
  <si>
    <t>垫资逾期，
客户资金困难，压在我司的远期支票和承诺付款时间等同于空头支票，屡次不能兑现，到 货款预测在2604</t>
  </si>
  <si>
    <t>项目交付已完成，维保期到26年6月。季度审阅高风险项目，在诉讼中，项目停滞，停止确认收入。</t>
  </si>
  <si>
    <t>山东浪潮数字服务有限公司：合同付款方式：合同签订后5个工作日TT¥ 3179070.00
同时供应链票据（融信（e信通）10个月期限）支付 ¥ 27618530.00 ：</t>
  </si>
  <si>
    <t>已向第三方公司开具发票，待全额回款。回款后签署三方协议。</t>
  </si>
  <si>
    <t>3月已回款20万，4月已回款50万，5月回款20万，2月应收逾期的20万及3月应收150万按罚则收取罚息，经客户反馈本周预计启明星给出最新付款计划。</t>
  </si>
  <si>
    <t>推进回款中，已发起预计5-6月可能会开庭；催款均不回信息</t>
  </si>
  <si>
    <t>上海地铁申通三期项目增补</t>
  </si>
  <si>
    <r>
      <t>大额垫资项目，回款逾期，两笔应收共计约4686万，当前最新测收再次延迟到了27年06月，逾期严重。</t>
    </r>
    <r>
      <rPr>
        <sz val="10"/>
        <color rgb="FF000000"/>
        <rFont val="等线"/>
        <charset val="134"/>
        <scheme val="minor"/>
      </rPr>
      <t xml:space="preserve">
按承诺24年12月回首付款50%约2343万元，25年12月回尾款50%；均为按承诺达成。</t>
    </r>
  </si>
  <si>
    <t>1ZB237500A</t>
  </si>
  <si>
    <t>首付款、尾款</t>
  </si>
  <si>
    <t>2024-11-30
 2025-11-30</t>
  </si>
  <si>
    <t>垫资逾期：黑，
1）合同约定了90天信用期，2）共管账户履行有瑕疵
首付款仍未付，预测在202605，延迟5个月</t>
  </si>
  <si>
    <t>i</t>
  </si>
  <si>
    <t xml:space="preserve">1，知鱼智联科技股份有限公司：签订付60%银票（6个月），服务完成付40%银票（6个月）
2，天津创界点新型材料有限公司：合同签订付60%银票（6个月），验收后付40%银票（6个月）
</t>
  </si>
  <si>
    <t>24年12月和25年12月回款</t>
  </si>
  <si>
    <t>侯东</t>
  </si>
  <si>
    <t>高头窑煤矿智能化系统采购买卖合同</t>
  </si>
  <si>
    <t>内蒙古北联电能源开发有限责任公司高头窑煤矿</t>
  </si>
  <si>
    <t>垫资项目，截止25年2月已全部回款。</t>
  </si>
  <si>
    <t>1BJ237170A</t>
  </si>
  <si>
    <t>首付款50%|二次付款40%|质保款10%</t>
  </si>
  <si>
    <t xml:space="preserve"> 保修期满 </t>
  </si>
  <si>
    <t>涉及多个采购合同，付款条款不同，详见《采购明细》页信息</t>
  </si>
  <si>
    <t>涉及多个采购合同，其中4个合同还剩10%未支付，其他6个合同已付完已全部支付完成</t>
  </si>
  <si>
    <t>项目已签约，24年1月已完成到货验收，24年9月已拿到安装验收报告，24年11月已回款113万，25年2月剩余尾款87万已回款，该项目已回完全款</t>
  </si>
  <si>
    <t>上海轨道交通智惠康信多功能终端人民广场站示范项目三期二次增补</t>
  </si>
  <si>
    <t>垫资、大额外采</t>
  </si>
  <si>
    <r>
      <t>大额垫资项目，回款逾期，应收余额1632万元，当前最新测收延迟到了27年6月</t>
    </r>
    <r>
      <rPr>
        <sz val="10"/>
        <color rgb="FF000000"/>
        <rFont val="等线"/>
        <charset val="134"/>
        <scheme val="minor"/>
      </rPr>
      <t xml:space="preserve">
按合同约定25年4月需回款1632万元；
按合同约定25年4月和26年4月回款。下游款项已支付完成。</t>
    </r>
  </si>
  <si>
    <t>1ZB241927A</t>
  </si>
  <si>
    <t>首付款</t>
  </si>
  <si>
    <r>
      <rPr>
        <sz val="9.75"/>
        <color rgb="FFC00000"/>
        <rFont val="Calibri"/>
        <charset val="134"/>
      </rPr>
      <t>垫资逾期：黑，合同付款时间是25年4月、26年4月；</t>
    </r>
    <r>
      <rPr>
        <sz val="9.75"/>
        <color rgb="FFFF0000"/>
        <rFont val="Calibri"/>
        <charset val="134"/>
      </rPr>
      <t>首付款逾期，测收在202606，延迟</t>
    </r>
  </si>
  <si>
    <t>已完成交付验收。25年7月关闭。</t>
  </si>
  <si>
    <t>1，知鱼智联科技股份有限公司：以6个月银票的方式支付，付款比例：合同签订付60%，安装实施完成客户验收后付40%
2. 天津创界点新型材料有限公司：以一年期付款代理方式或一年期国内信用证或一年期供应链票据、保理、供应链付款等方式支付，付款比例：合同签订付60%，交付安装客户验收后付40%</t>
  </si>
  <si>
    <t>已全部支付完成</t>
  </si>
  <si>
    <t>25年4月及26年4月各回款50%</t>
  </si>
  <si>
    <t>项目已签约及到货验收，按还款计划客户承诺预计2025年11月完成回款16317812.5元，截止目前预计2026年三季度回款完毕。</t>
  </si>
  <si>
    <t xml:space="preserve"> </t>
  </si>
  <si>
    <t>阿里云订单中国发布二期定制开发</t>
  </si>
  <si>
    <t>五洲传播出版传媒有限公司</t>
  </si>
  <si>
    <t>1BJ232592A</t>
  </si>
  <si>
    <t>首付款60%|验收款40%</t>
  </si>
  <si>
    <t>背靠背支付</t>
  </si>
  <si>
    <t>已付100%</t>
  </si>
  <si>
    <t>项目已验收并全额回款</t>
  </si>
  <si>
    <t>王欣</t>
  </si>
  <si>
    <t xml:space="preserve"> 浙江省公共卫生大数据治理支撑平台</t>
  </si>
  <si>
    <t>浙江省疾病预防控制中心（浙江省公共卫生研究院）</t>
  </si>
  <si>
    <t>浙江省疾病预防控制中心</t>
  </si>
  <si>
    <t>纯技术外包</t>
  </si>
  <si>
    <t>纯技术外包项目，9月已回终验尾款，已完成回款100%。
当前下游背靠背支付了100%款项。项目结束。</t>
  </si>
  <si>
    <t>1BJ244421A</t>
  </si>
  <si>
    <t>预付款40%|初验款40%|终验款20%</t>
  </si>
  <si>
    <t>2509月已结清</t>
  </si>
  <si>
    <t>8月完成终验，项目已完成交付验收和回款。</t>
  </si>
  <si>
    <t>合同已签，背靠背支付了100%技术外包</t>
  </si>
  <si>
    <t>.首付款：条款背靠背
1）收款
合同签订后支付合同总价款的40%，项目整体全部初验（预计24年11月）后支付合同总价款的40%，合同履行完成并通过验收后支付合同总价款的20%；
2）付款
按照前项合同的收款比例，背靠背向供应商付款
合同签订后支付合同总价款的40%，项目整体全部初验后支付合同总价款的40%，合同履行完成并通过验收后支付合同总价款的20%。</t>
  </si>
  <si>
    <t>8月已回预付款741万，下游分包采购流程正常推进中。9月已完成尾款回款</t>
  </si>
  <si>
    <t>申通地铁项目四期</t>
  </si>
  <si>
    <t>上海申通地铁资产经营管理有限公司</t>
  </si>
  <si>
    <t>大额垫资项目。按承诺25年6月回款100%，约6417万，6月未按承诺回款，垫资逾期。当前最新测收延迟到了27年9月。</t>
  </si>
  <si>
    <t>1ZB243760A</t>
  </si>
  <si>
    <t>服务款100%</t>
  </si>
  <si>
    <t>服务款</t>
  </si>
  <si>
    <t>垫资逾期：黑，本月测收在2609，晚于垫资承诺时间2506，测收延期</t>
  </si>
  <si>
    <t>1， 知鱼智联科技股份有限公司：交货后付60%（开具6个月银票，验收后付40%（开具6个月银票）；2.天津创界点新型材料有限公司：交货后付60%（开具一年期供应链票据），验货后付40%（开具一年期供应链票据）</t>
  </si>
  <si>
    <t>25年6月回款100%</t>
  </si>
  <si>
    <t>回款推进中</t>
  </si>
  <si>
    <t>DBC</t>
  </si>
  <si>
    <t>于畅</t>
  </si>
  <si>
    <t>中科国荣（北京）控股有限公司科研管理系统项目开发协议</t>
  </si>
  <si>
    <t>中科国荣（北京）控股有限公司</t>
  </si>
  <si>
    <t>中国水利水电科学研究院</t>
  </si>
  <si>
    <t>非白名单客户付款背靠背无预付款</t>
  </si>
  <si>
    <t>已做部分终止</t>
  </si>
  <si>
    <t>1AH241962A</t>
  </si>
  <si>
    <t>首付款30%|初验款30%|终验款30%|质保款10%</t>
  </si>
  <si>
    <t>开发完成</t>
  </si>
  <si>
    <t>纯技术外包项目，依据技术外包服务期分摊进度确认收入</t>
  </si>
  <si>
    <t>背对背</t>
  </si>
  <si>
    <t>技术外包总额1,580,000.00，未支付</t>
  </si>
  <si>
    <t>背靠背付款</t>
  </si>
  <si>
    <t>-</t>
  </si>
  <si>
    <t>预计近期终止</t>
  </si>
  <si>
    <t>周文杰</t>
  </si>
  <si>
    <t>TSW VMware采购项目</t>
  </si>
  <si>
    <t>中软国际科技服务(香港)有限公司</t>
  </si>
  <si>
    <t>PCCW Digital Solutions Limited</t>
  </si>
  <si>
    <t xml:space="preserve">纯外采软件合同，背靠背付款且无预付。已完成交付，本月已回款100%
</t>
  </si>
  <si>
    <t>1HK245943A</t>
  </si>
  <si>
    <t>到货款100%</t>
  </si>
  <si>
    <t>到货</t>
  </si>
  <si>
    <t>纯第三方采购</t>
  </si>
  <si>
    <t>全部支付完成</t>
  </si>
  <si>
    <t>本合同为纯外采软件合同，合同金额HKD 4,664,726.24，外采含税成本为：HKD4,400,684.16，外采含税成本占含税合同金额的94%，保证利润率不低于6%，采购合同付款将按照背靠背签署，不涉及垫资；</t>
  </si>
  <si>
    <t>承诺条款达成进展当中暂没有变化.</t>
  </si>
  <si>
    <t>采购合同待签中，等Varmeego签订合同后，会进行供货验收打款等环节</t>
  </si>
  <si>
    <t>汪映功</t>
  </si>
  <si>
    <t>安全风险智能化管控平台推广及安全系统集成项目</t>
  </si>
  <si>
    <t>中海石油气电集团有限责任公司</t>
  </si>
  <si>
    <t>纯外采项目</t>
  </si>
  <si>
    <t>纯外采项目，承诺6%利润率。目前正在逐步下达订单，下游合同及订单还未签署，待签署后确认达成情况</t>
  </si>
  <si>
    <t>框架合同，上限5045600</t>
  </si>
  <si>
    <t>1BJ252295A</t>
  </si>
  <si>
    <t>验收100%(初验)</t>
  </si>
  <si>
    <t>无外采</t>
  </si>
  <si>
    <t>6%利润，背靠背付款</t>
  </si>
  <si>
    <t>还未开始交付，计划近期将框架合同变更为固定金额合同。</t>
  </si>
  <si>
    <t>贺雅洁</t>
  </si>
  <si>
    <t>无锡金云智联科技有限公司AIOT智能数据库服务项目采购合同-框架</t>
  </si>
  <si>
    <t>无锡金云智联科技有限公司</t>
  </si>
  <si>
    <t>【纯外采项目】（纯外采技术分包)</t>
  </si>
  <si>
    <t>1AH243334A</t>
  </si>
  <si>
    <t>框架项目，目前签订两个订单</t>
  </si>
  <si>
    <t>背靠背</t>
  </si>
  <si>
    <t>协议（AICON202406048941）+结算单，已签署两个结算单：AICON202411059141、AICON202407051366</t>
  </si>
  <si>
    <t>框架已签，合同额 0元</t>
  </si>
  <si>
    <r>
      <rPr>
        <sz val="9.75"/>
        <color rgb="FF000000"/>
        <rFont val="Calibri"/>
        <charset val="134"/>
      </rPr>
      <t>订单1-无锡金云智联科技有限公司AIOT智能数据库服务项目采购合同</t>
    </r>
  </si>
  <si>
    <t>1AH244083A</t>
  </si>
  <si>
    <t>涉及一个技术外包，已支付完成</t>
  </si>
  <si>
    <t>合同额：295.92万</t>
  </si>
  <si>
    <t>7月17日大签，分3次回款，9月6日全部到账完成</t>
  </si>
  <si>
    <r>
      <rPr>
        <sz val="9.75"/>
        <color rgb="FF000000"/>
        <rFont val="Calibri"/>
        <charset val="134"/>
      </rPr>
      <t>订单2-无锡金云智联科技有限公司AIOT智能数据库服务项目采购合同</t>
    </r>
  </si>
  <si>
    <t>1AH246917A</t>
  </si>
  <si>
    <t>涉及2个技术外包，已支付完成</t>
  </si>
  <si>
    <t>合同额：147.96万</t>
  </si>
  <si>
    <t>11月5日大签，11月20日已经回款已到账</t>
  </si>
  <si>
    <r>
      <rPr>
        <sz val="9.75"/>
        <color rgb="FF000000"/>
        <rFont val="Calibri"/>
        <charset val="134"/>
      </rPr>
      <t>订单</t>
    </r>
    <r>
      <rPr>
        <sz val="9.75"/>
        <color rgb="FF000000"/>
        <rFont val="Calibri"/>
        <charset val="134"/>
      </rPr>
      <t>3</t>
    </r>
    <r>
      <rPr>
        <sz val="9.75"/>
        <color rgb="FF000000"/>
        <rFont val="Calibri"/>
        <charset val="134"/>
      </rPr>
      <t>-AIOT</t>
    </r>
    <r>
      <rPr>
        <sz val="9.75"/>
        <color rgb="FF000000"/>
        <rFont val="Calibri"/>
        <charset val="134"/>
      </rPr>
      <t>智能数据服务项目</t>
    </r>
  </si>
  <si>
    <t>纯技术分包合同，3月我司已回款100%</t>
  </si>
  <si>
    <t>未大签</t>
  </si>
  <si>
    <t>2024年</t>
  </si>
  <si>
    <t>1AH248517A</t>
  </si>
  <si>
    <t>框架下结算单</t>
  </si>
  <si>
    <r>
      <rPr>
        <sz val="9.75"/>
        <color rgb="FF000000"/>
        <rFont val="Calibri"/>
        <charset val="134"/>
      </rPr>
      <t>结算单框架</t>
    </r>
    <r>
      <rPr>
        <sz val="9.75"/>
        <color rgb="FF000000"/>
        <rFont val="Calibri"/>
        <charset val="134"/>
      </rPr>
      <t>AICON202406048941下已结算3笔</t>
    </r>
  </si>
  <si>
    <t>合同额：235.92万</t>
  </si>
  <si>
    <t>款项已结清</t>
  </si>
  <si>
    <t>贵阳产控金云科技有限公司AIOT智能数据库服务项目采购合同-框架</t>
  </si>
  <si>
    <t>贵阳产控金云科技有限公司</t>
  </si>
  <si>
    <t>1AH243338A</t>
  </si>
  <si>
    <t>服务期满</t>
  </si>
  <si>
    <t>黄牌</t>
  </si>
  <si>
    <t>协议（AICON202406048926，48万）+结算单，结算单仍未签署</t>
  </si>
  <si>
    <t>框架已签</t>
  </si>
  <si>
    <t>订单-AIOT智能数据库服务项目</t>
  </si>
  <si>
    <t>1AH248518A</t>
  </si>
  <si>
    <t>合同额：60万</t>
  </si>
  <si>
    <t>已完成回款</t>
  </si>
  <si>
    <t>山东中创软件工程股份有限公司高速公路省中心收费业务服务</t>
  </si>
  <si>
    <t>山东中创软件工程股份有限公司</t>
  </si>
  <si>
    <t>1AH243580A</t>
  </si>
  <si>
    <t>预付款10%|二次付款50%|验收款40%</t>
  </si>
  <si>
    <t>项目关闭，已交付完成</t>
  </si>
  <si>
    <t>AICON202406048906，技术外包，已支付100%</t>
  </si>
  <si>
    <t>山东中创软件工程股份有限公司中交租赁三地一体化业务管理平台技术开发服务</t>
  </si>
  <si>
    <t>合同已终止</t>
  </si>
  <si>
    <t>1AH243582A</t>
  </si>
  <si>
    <t>黑牌0</t>
  </si>
  <si>
    <t>AICON202406048831，采购合同终止</t>
  </si>
  <si>
    <t>延期到2025年</t>
  </si>
  <si>
    <t>交付中</t>
  </si>
  <si>
    <t>白正伟</t>
  </si>
  <si>
    <t>青岛思文执竞数字科技有限公司技术开发服务合同（车辆运营管理平台）</t>
  </si>
  <si>
    <t>青岛思文执竞数字科技有限公司</t>
  </si>
  <si>
    <t>1AH244165A</t>
  </si>
  <si>
    <t>验收款100%</t>
  </si>
  <si>
    <t>AICON202408052661，采购合同终止</t>
  </si>
  <si>
    <t>回款跟进中，预计2024年完成回款</t>
  </si>
  <si>
    <r>
      <rPr>
        <sz val="9.75"/>
        <color rgb="FF000000"/>
        <rFont val="Calibri"/>
        <charset val="134"/>
      </rPr>
      <t>C</t>
    </r>
    <r>
      <rPr>
        <sz val="10.5"/>
        <color rgb="FF000000"/>
        <rFont val="Calibri"/>
        <charset val="134"/>
      </rPr>
      <t>SC</t>
    </r>
  </si>
  <si>
    <t>李心鹏</t>
  </si>
  <si>
    <t>中国广电甘肃网络股份有限公司亚信技术服务合同维保合同（202407-202506）</t>
  </si>
  <si>
    <t>中国广电甘肃网络股份有限公司</t>
  </si>
  <si>
    <t>黑名单客户</t>
  </si>
  <si>
    <t>黑名单客户，项目已执行完毕，预付款及应收款均逾期，客户资金困难，目前测收在27年6月，比上版延期1年以上。
正在走客户方内部流程。项目目前进度减缓，待预付款回款，再正常执行。</t>
  </si>
  <si>
    <t>回款逾期</t>
  </si>
  <si>
    <t>1ZB247385A</t>
  </si>
  <si>
    <t>预付款60%|服务款40%</t>
  </si>
  <si>
    <t>预付款、服务期满</t>
  </si>
  <si>
    <t>预付款及服务期满款项均应收，测收在2706，客户资金困难</t>
  </si>
  <si>
    <t>项目已完成交付，项目将于8月31日关闭</t>
  </si>
  <si>
    <t>25年争取完成应收款回款。</t>
  </si>
  <si>
    <t>首付款逾期</t>
  </si>
  <si>
    <t>预付款在走局方内部流程，项目目前进度减缓，待预付款回款，再正常执行。</t>
  </si>
  <si>
    <t>裴龙</t>
  </si>
  <si>
    <t>内蒙古能源阿拉善右旗100万千瓦风储基地保障性项目EPC总承包工程5G覆盖服务采购</t>
  </si>
  <si>
    <t>内蒙古电力勘测设计院有限责任公司</t>
  </si>
  <si>
    <t>阿拉善右旗蒙能能源有限公司</t>
  </si>
  <si>
    <t>首笔款33.33%已按承诺达成回款，已支付供应商货款151万。</t>
  </si>
  <si>
    <t>1BJ251346A</t>
  </si>
  <si>
    <t>满12个月付33.33%;满24个月付33.33%;服务期满33.34%(服务期36个月)</t>
  </si>
  <si>
    <t>第一笔款2601，不超垫资承诺时间2603</t>
  </si>
  <si>
    <t>服务期满一年</t>
  </si>
  <si>
    <t>2025年11月已竣工验收，项目进入维保期。</t>
  </si>
  <si>
    <t>阶段性付款</t>
  </si>
  <si>
    <t>1XY251347A下涉及技术外包和第三方采购 合同已签订共计3684808.27元</t>
  </si>
  <si>
    <t>事业部承诺争取25年12月最迟26年3月回第一年服务费。</t>
  </si>
  <si>
    <t xml:space="preserve">1BJ251346A 已回款2293200元
</t>
  </si>
  <si>
    <t>内蒙古巴彦淖尔蒙能能源有限公司磴口县160万千瓦光储+生态治理项目5G覆盖服务</t>
  </si>
  <si>
    <t>内蒙古巴彦淖尔蒙能能源有限公司</t>
  </si>
  <si>
    <t>已支付供应商部分款项，目前未到承诺回款时间，但目前测收日期超过承诺时间，请提前关注</t>
  </si>
  <si>
    <t>1BJ250488A</t>
  </si>
  <si>
    <t>第一笔款26年9月，测收超垫资承诺时间2605</t>
  </si>
  <si>
    <t>已完成部分提前采购，立杆施工已完成，继续交付中。</t>
  </si>
  <si>
    <t>1XY250491A 下涉及技术外包和第三方采购 合同已签订共计2408997.57元</t>
  </si>
  <si>
    <t>事业部承诺2026年5月份回第一年服务费</t>
  </si>
  <si>
    <t>1BJ250488A  未回款</t>
  </si>
  <si>
    <t>汝庆港</t>
  </si>
  <si>
    <t>【601】—【南大区新能源场站5G专网设备和服务】采购项目</t>
  </si>
  <si>
    <t>中广电移动网络有限公司华南分公司</t>
  </si>
  <si>
    <t>目前未回款，预测不可收，我司也未向供应商付款</t>
  </si>
  <si>
    <t>1BJ247905A</t>
  </si>
  <si>
    <t>到货70%;上线20%;终验10%</t>
  </si>
  <si>
    <t>垫资承诺时间2510
项目回款预测不可收回</t>
  </si>
  <si>
    <t>特殊过单项目无实际交付，由于到货不齐套，以及客户现场条件不具备，导致项目未完工。</t>
  </si>
  <si>
    <t>未交付，暂无付款</t>
  </si>
  <si>
    <t>EBC事业部承诺本项目垫资不超4个月，会加快上游合同回款。</t>
  </si>
  <si>
    <t>马学灶</t>
  </si>
  <si>
    <t>贵阳银行零售crm平台功能优化项目开发合同</t>
  </si>
  <si>
    <t xml:space="preserve"> 贵阳银行股份有限公司</t>
  </si>
  <si>
    <t>亏损</t>
  </si>
  <si>
    <t>亏损项目，30%首付款已回</t>
  </si>
  <si>
    <t>1BJ252813A</t>
  </si>
  <si>
    <t>人员进场30%;初验60%;质保10%(初验后4年)</t>
  </si>
  <si>
    <t>验收</t>
  </si>
  <si>
    <t>继续交付中</t>
  </si>
  <si>
    <t>事业部承诺：
（1）回款保障：客户为上市银行，根据市场调研和友商经验回款验收都比较规范，接受产品或远程交付，我们商务上和分管这个项目的客户科技部主管副总有着较好的客情关系；
（2）订单延续性弥补亏损：这个项目也可以为我们后续的二期及其他项目等长期合作打下基础。而且银行市场客户基数大，业务共性强，对产品化交付接受度高，具有较高的产品可复制性，在银行领域深耕的厂商普遍产品化程度较高。我们通过这个项目可以沉淀产品、案例及行业经验，可为后期的市场推广及交付节省成本，逐步弥补亏损及利润。</t>
  </si>
  <si>
    <t>首付款已收。已沉淀银行零售 crm 产品在推广中，但受多方面因素影响暂时没有新落地项目。</t>
  </si>
  <si>
    <t>项目已部分上线，剩余内容计划 26 年 Q1 完成上线。二期项目方案和人力项目都在跟进沟通推进中。预计 26 年年中落地。
客情关系副总上半年工作调整不再负责该项目及该业务线条，银行需求、开发、测试、上线、验收流程严格复杂，之前计划补充的银行业务专家没有入职，项目组业务短板明显，导致上线验收回款时间晚于之前预期，目前只能通过项目组内部努力和合作伙伴客情尽量协调。</t>
  </si>
  <si>
    <t>丑富民</t>
  </si>
  <si>
    <t>【601】+ 中启赛博技术服务项目二期（QS）</t>
  </si>
  <si>
    <t>北京中启赛博科技有限公司</t>
  </si>
  <si>
    <t>9月已回款结清</t>
  </si>
  <si>
    <t>1BJ247882A</t>
  </si>
  <si>
    <t>验收100%</t>
  </si>
  <si>
    <t>2509月回款，已结清</t>
  </si>
  <si>
    <t>特殊过单项目，无实际交付</t>
  </si>
  <si>
    <t>已经完成付款  共计322,000元</t>
  </si>
  <si>
    <t>事业部承诺2025年5月30日回款25.2万。</t>
  </si>
  <si>
    <t>已回款结清</t>
  </si>
  <si>
    <t>【601】+北京中启赛博技术服务项目（QS）</t>
  </si>
  <si>
    <t>1BJ247421A</t>
  </si>
  <si>
    <t>预付40%；验收60%</t>
  </si>
  <si>
    <t>已完成全部付款</t>
  </si>
  <si>
    <t>事业部承诺2025年6月30日前回款37.8万，严格控制垫资成本。</t>
  </si>
  <si>
    <t>黄海峰</t>
  </si>
  <si>
    <t>中煤芒来（苏尼特左旗）矿业有限公司边坡安全监测视频监控设备采购项目</t>
  </si>
  <si>
    <t>中煤芒来（苏尼特左旗）矿业有限公司</t>
  </si>
  <si>
    <t>黑名单客户，目前30%到货款10月已回，背靠背支付了30%采购款；
初验里程碑计划在3月完成，晚于承诺的项目计划。</t>
  </si>
  <si>
    <t>1BJ254645A</t>
  </si>
  <si>
    <t>到货30%;初验30%;终验35%;质保5%(终验后1年)</t>
  </si>
  <si>
    <t>初验</t>
  </si>
  <si>
    <t>项目初验报告我司已经盖完章邮寄至客户侧，待客户侧盖章，本月完成。</t>
  </si>
  <si>
    <t>背靠背付款，申请支付了29.99%，涉及金额522091.08</t>
  </si>
  <si>
    <t>采购合同签署完成， 付款方式背靠背。采购金额：1,741,134.87</t>
  </si>
  <si>
    <t>项目要求工期为90个日历日，预计25年8月初收到第一笔款，25年9月底收第二笔验收款，25年12月底或26年1月初收试运行结束款，27年1月收质保金。</t>
  </si>
  <si>
    <t>10月28日合同额30%到货款已回款（供应商对应付款待开账后支付），货物已发给客户，正在做到货验收中，初验及终验材料我司已盖章，等待客户签字盖章后完成初验和终验。预计12月底收回合同额30%验收款，26年3月份收回合同额35%第三笔款，27年4月份收回5%质保金。</t>
  </si>
  <si>
    <t>龙源（北京）新能源工程技术有限公司 2025-2026 年新能源数字化系统程序代码驻场编写及运维框架服务采购项目（标段1）</t>
  </si>
  <si>
    <t xml:space="preserve">
龙源（北京）新能源工程技术有限公司</t>
  </si>
  <si>
    <t>纯外采服务</t>
  </si>
  <si>
    <t>框架合同已大签</t>
  </si>
  <si>
    <t>1BJ254823A</t>
  </si>
  <si>
    <t xml:space="preserve"> 验收90%(初验);质保款10%(验收后1年) </t>
  </si>
  <si>
    <t>框架，矿山项目已转ESU</t>
  </si>
  <si>
    <t>暂时未签署合同</t>
  </si>
  <si>
    <t>结算单1——龙源（北京）新能源工程技术有限公司 2025-2026 年新能源数字化系统程序代码驻场编写及运维框架服务采购项目（标段1）</t>
  </si>
  <si>
    <t>结算单1在11月已签，目前已验收且90%款已收到，已背靠背向下游支付了90%货款。</t>
  </si>
  <si>
    <t>1BJ256065A</t>
  </si>
  <si>
    <t>保修期满</t>
  </si>
  <si>
    <t>代理服务已全结，保修期付款比例10%未服务完成。</t>
  </si>
  <si>
    <t xml:space="preserve">背靠背付款 </t>
  </si>
  <si>
    <t>采购合同签署完成，支付完成90%款项</t>
  </si>
  <si>
    <t xml:space="preserve"> 1、背靠背付款 2、甲方在收到最终用户签署的验收合格证书后15日内完成对乙方的验收，如甲方最终用户以明示或默示方式表示验收未通过，则甲方验收不通过； 3、约定合同金额已经包括违约费用，若甲方延期付款，不再另行支付违约金。</t>
  </si>
  <si>
    <t>结算单2——龙源（北京）新能源工程技术有限公司 2025-2026 年新能源数字化系统程序代码驻场编写及运维框架服务采购项目（标段1）</t>
  </si>
  <si>
    <t>结算单2在12月已签，90%验收款已回，背靠背付款采购合同审批中。</t>
  </si>
  <si>
    <t>2025-12-31</t>
  </si>
  <si>
    <t>1BJ258803A</t>
  </si>
  <si>
    <t>结算</t>
  </si>
  <si>
    <t>代理服务3月已全部完成出库，客户第三方公司在做审核报告，本月能拿到报告。</t>
  </si>
  <si>
    <t xml:space="preserve"> 采购合同审批中，签约金额：3,547,062.8</t>
  </si>
  <si>
    <t>杨世民</t>
  </si>
  <si>
    <t>陕西省物流集团有限责任公司数据中台建设项目合同</t>
  </si>
  <si>
    <t>纯外采项目，30%预付款已回，背靠背向下游支付了30%货款；当前交付阶段为方案已通过。</t>
  </si>
  <si>
    <t>1BJ256950A</t>
  </si>
  <si>
    <t xml:space="preserve"> 预付30%;方案确认30%;终验30%;质保10%(终验后1年) </t>
  </si>
  <si>
    <t>方案通过</t>
  </si>
  <si>
    <t>第三方采购签署完成，总额3,132,720.00，
已经支付30%预付款，939816，</t>
  </si>
  <si>
    <t>承诺在采购合同中，增加一定的付款条件、罚则等风险控制条款，后向合同中进行明确约定由总集方来承担，承诺由总集成方明确负责项目工程交付质量和责任，承诺在上下游衔接层面，严格按照背对背的条款，进行签署</t>
  </si>
  <si>
    <t>王思清</t>
  </si>
  <si>
    <t>框架【浪潮计算机科技有限公司】-中国移动2025年至2026年人工智能通用计算设备（推理型）集中采购项目</t>
  </si>
  <si>
    <t>浪潮计算机科技有限公司</t>
  </si>
  <si>
    <t>中国移动通信集团有限公司</t>
  </si>
  <si>
    <t>垫资风险</t>
  </si>
  <si>
    <t>0，平进平出，考虑垫资成本则项目亏损</t>
  </si>
  <si>
    <t>1NJ256882A</t>
  </si>
  <si>
    <t xml:space="preserve"> 预付50%;到货验收50% </t>
  </si>
  <si>
    <t>付款背靠背，但付款信用期有30天的差异，导致需承担一个月左右的垫资成本，事业部承诺如果垫资周期超过30天，与上游方停止合作并追究法律责任，同步停止和下游方的付款。</t>
  </si>
  <si>
    <t>订单8（中国移动省内测试15台订单）【浪潮计算机科技有限公司】-中国移动2025年至2026年人工智能通用计算设备（推理型）集中采购项目-</t>
  </si>
  <si>
    <r>
      <t>浪潮纯外采项目订单，</t>
    </r>
    <r>
      <rPr>
        <sz val="10"/>
        <color rgb="FFFF0000"/>
        <rFont val="Calibri"/>
        <charset val="134"/>
      </rPr>
      <t>50%</t>
    </r>
    <r>
      <rPr>
        <sz val="10"/>
        <color rgb="FFFF0000"/>
        <rFont val="宋体"/>
        <charset val="134"/>
      </rPr>
      <t>预付款已回，部分订单已在3月完成到货验收，到货款应收；同步给下游支付了</t>
    </r>
    <r>
      <rPr>
        <sz val="10"/>
        <color rgb="FFFF0000"/>
        <rFont val="Calibri"/>
        <charset val="134"/>
      </rPr>
      <t>50%</t>
    </r>
    <r>
      <rPr>
        <sz val="10"/>
        <color rgb="FFFF0000"/>
        <rFont val="宋体"/>
        <charset val="134"/>
      </rPr>
      <t>货款。</t>
    </r>
    <r>
      <rPr>
        <sz val="10"/>
        <color rgb="FF000000"/>
        <rFont val="Calibri"/>
        <charset val="134"/>
      </rPr>
      <t xml:space="preserve">
</t>
    </r>
    <r>
      <rPr>
        <sz val="10"/>
        <rFont val="宋体"/>
        <charset val="134"/>
      </rPr>
      <t>给下游付款背靠背，但付款信用期有</t>
    </r>
    <r>
      <rPr>
        <sz val="10"/>
        <rFont val="Calibri"/>
        <charset val="134"/>
      </rPr>
      <t>30</t>
    </r>
    <r>
      <rPr>
        <sz val="10"/>
        <rFont val="宋体"/>
        <charset val="134"/>
      </rPr>
      <t>天的差异，可能产生</t>
    </r>
    <r>
      <rPr>
        <sz val="10"/>
        <rFont val="Calibri"/>
        <charset val="134"/>
      </rPr>
      <t>30</t>
    </r>
    <r>
      <rPr>
        <sz val="10"/>
        <rFont val="宋体"/>
        <charset val="134"/>
      </rPr>
      <t>天月左右的垫资成本，事业部承诺如果垫资周期超过</t>
    </r>
    <r>
      <rPr>
        <sz val="10"/>
        <rFont val="Calibri"/>
        <charset val="134"/>
      </rPr>
      <t>30</t>
    </r>
    <r>
      <rPr>
        <sz val="10"/>
        <rFont val="宋体"/>
        <charset val="134"/>
      </rPr>
      <t>天，与上游方停止合作并追究法律责任，同步停止和下游方的付款。</t>
    </r>
  </si>
  <si>
    <t>订单</t>
  </si>
  <si>
    <t>1NJ256993A</t>
  </si>
  <si>
    <t>未验收，部分回款。
2025/10/31已回全部预付款    11,120,005 ，到货款    11,120,005 未回</t>
  </si>
  <si>
    <t>代理服务，无交付成本</t>
  </si>
  <si>
    <t>三订单合计支付16,342,195.43</t>
  </si>
  <si>
    <t>三个订单合计金额￥32,684,390.86</t>
  </si>
  <si>
    <t>按照承诺背靠背付款。</t>
  </si>
  <si>
    <t>部分（齐鲁1台、苏研1台）已到货验收，浪潮已向我方签署验货报告，我方已向阿里签署验货报告。</t>
  </si>
  <si>
    <t xml:space="preserve">订单4（郑州移动政务云2台订单）【浪潮计算机科技有限公司】-中国移动2025年至2026年人工智能通用计算设备（推理型）集中采购项目
</t>
  </si>
  <si>
    <t>1NJ256994A</t>
  </si>
  <si>
    <t>预付50%;到货验收50%</t>
  </si>
  <si>
    <t xml:space="preserve"> 到货款 </t>
  </si>
  <si>
    <t>已验收，部分回款。
2025/10/31已回全部预付款  1,455,000 ，到货款  1,455,000 未回</t>
  </si>
  <si>
    <t>已全部到货验收，浪潮已向我方签署验货报告，我方已向阿里签署验货报告。</t>
  </si>
  <si>
    <t>订单3（汕头移动政务云5台订单）【浪潮计算机科技有限公司】-中国移动2025年至2026年人工智能通用计算设备（推理型）集中采购项目</t>
  </si>
  <si>
    <t>1NJ256995A</t>
  </si>
  <si>
    <t>已验收，部分回款。
2025/10/31已回全部预付款    3,767,191，到货款    3,767,191 未回</t>
  </si>
  <si>
    <t>【浪潮计算机科技有限公司】-中国移动2025年至2026年人工智能通用计算设备（推理型）集中采购项目-订单9（中国移动省内测试16台订单）</t>
  </si>
  <si>
    <t>亏损合同；纯外购软硬件—利润率低于5%且低于100万；纯外采—非背靠背或垫资</t>
  </si>
  <si>
    <t>浪潮纯外采项目订单，50%预付款已回，部分订单已在3月完成到货验收，到货款应收；同步给下游支付了50%货款。
给下游付款背靠背，但付款信用期有30天的差异，可能产生30天月左右的垫资成本，事业部承诺如果垫资周期超过30天，与上游方停止合作并追究法律责任，同步停止和下游方的付款。</t>
  </si>
  <si>
    <t>1NJ258581A</t>
  </si>
  <si>
    <t xml:space="preserve"> 预付款 </t>
  </si>
  <si>
    <t>未验收，未回款</t>
  </si>
  <si>
    <t>坚持背靠背付款</t>
  </si>
  <si>
    <t>1、与阿里签署补充付款条件安排：阿里侧答复将在11月底做专项回复，敲定补充协议时间和内容；事业部承诺可在12月初完成与阿里签署的补充协议，同时会明确约定：阿里可提前供货，重新约定付款为背靠背收款，即亚信在收到上游款项后再支付阿里，无需亚信垫资支付，同时不要求亚信承担任何相关违约责任等内容；
2、签署到货报告约定：预计到货后15日之内签署到货报告，事业部承诺在签署到货报告时间前提供合规物流单号、沟通往来凭证；在我司收到上游签署的到货报告后，再向阿里签署到货报告;
3、付款及开票计划：目前暂无明细付款计划，预计12月与浪潮及阿里落实整体收付款计划；预付款无需开票，到货款阶段开具100%发票。不论啥时候付款，我方承诺背靠背不垫资。</t>
  </si>
  <si>
    <t>按照承诺条款提供验货报告、到货照片、物流单等凭证，按承诺未向阿里垫资。</t>
  </si>
  <si>
    <t>尚未到货</t>
  </si>
  <si>
    <t>【浪潮计算机科技有限公司】-中国移动2025年至2026年人工智能通用计算设备（推理型）集中采购项目-订单7（北京移动1台订单）</t>
  </si>
  <si>
    <t>纯外购软硬件—利润率低于5%且低于100万；亏损合同；纯外采—非背靠背或垫资</t>
  </si>
  <si>
    <t>2025-12-04</t>
  </si>
  <si>
    <t>1NJ258585A</t>
  </si>
  <si>
    <t>已验收，部分回款。
2026/3/16已回全部预付款753,438.11，到货款回款413,059.29，剩余340,379未回</t>
  </si>
  <si>
    <t>已全部到货验收，浪潮已向我方签署验货报告，我方已向阿里签署验货报告，预付款已回。</t>
  </si>
  <si>
    <t>【浪潮计算机科技有限公司】-中国移动2025年至2026年人工智能通用计算设备（推理型）集中采购项目-订单6（青海移动1台订单）</t>
  </si>
  <si>
    <t>1NJ258580A</t>
  </si>
  <si>
    <t>如果垫资周期超过30天，与上游方停止合作并追究法律责任，同步停止和下游方的付款</t>
  </si>
  <si>
    <t>【浪潮计算机科技有限公司】-中国移动2025年至2026年人工智能通用计算设备（推理型）集中采购项目-订单5（浙江移动3台订单）</t>
  </si>
  <si>
    <t>2025-12-09</t>
  </si>
  <si>
    <t>1NJ258710A</t>
  </si>
  <si>
    <t>【浪潮计算机科技有限公司】-中国移动2025年至2026年人工智能通用计算设备（推理型）集中采购项目-订单2（中山移动政务云2台订单）</t>
  </si>
  <si>
    <t>1NJ258584A</t>
  </si>
  <si>
    <t>【浪潮计算机科技有限公司】-中国移动2025年至2026年人工智能通用计算设备（推理型）集中采购项目-订单18（舟山移动下单2台高网1-浙江大区）</t>
  </si>
  <si>
    <t>亏损合同；垫资；纯外购软硬件—利润率低于5%且低于100万；纯外采—非背靠背或垫资</t>
  </si>
  <si>
    <t>2025-12-30</t>
  </si>
  <si>
    <t>1NJ250098A</t>
  </si>
  <si>
    <t>1、与阿里签署补充付款条件安排：阿里侧答复将在11月底做专项回复，敲定补充协议时间和内容；事业部承诺可在12月初完成与阿里签署的补充协议，同时会明确约定：阿里可提前供货，重新约定付款为背靠背收款，即亚信在收到上游款项后再支付阿里，无需亚信垫资支付，同时不要求亚信承担任何相关违约责任等内容——该承诺已明确无法达成；
2、签署到货报告约定：预计到货后15日之内签署到货报告，事业部承诺在签署到货报告时间前提供合规物流单号、沟通往来凭证；在我司收到上游签署的到货报告后，再向阿里签署到货报告;
3、付款及开票计划：目前暂无明细付款计划，预计12月与浪潮及阿里落实整体收付款计划；预付款无需开票，到货款阶段开具100%发票。不论啥时候付款，我方承诺背靠背不垫资</t>
  </si>
  <si>
    <t>【浪潮计算机科技有限公司】-中国移动2025年至2026年人工智能通用计算设备（推理型）集中采购项目-订单16（浙江大区下单2台高网2-浙江移动）</t>
  </si>
  <si>
    <t>1NJ250097A</t>
  </si>
  <si>
    <t xml:space="preserve"> 到货 </t>
  </si>
  <si>
    <t>已验收，未回款</t>
  </si>
  <si>
    <t>已全部到货验收，浪潮已向我方签署验货报告，我方已向阿里签署验货报告，计划6月底回预付款。</t>
  </si>
  <si>
    <t>【浪潮计算机科技有限公司】-中国移动2025年至2026年人工智能通用计算设备（推理型）集中采购项目-订单15（中国移动集采下单5台高网-浙江移动）</t>
  </si>
  <si>
    <t>1NJ250103A</t>
  </si>
  <si>
    <t>部分验收，未回款</t>
  </si>
  <si>
    <t>部分（3台）已到货验收，浪潮已向我方签署验货报告，我方已向阿里签署验货报告，计划6月底回预付款。</t>
  </si>
  <si>
    <t>【浪潮计算机科技有限公司】-中国移动2025年至2026年人工智能通用计算设备（推理型）集中采购项目-订单13（中国移动集采下单12台高网-浙江移动）</t>
  </si>
  <si>
    <t>1NJ250104A</t>
  </si>
  <si>
    <t>1、与阿里签署补充付款条件安排：阿里侧答复将在11月底做专项回复，敲定补充协议时间和内容；事业部承诺可在12月初完成与阿里签署的补充协议，同时会明确约定：阿里可提前供货，重新约定付款为背靠背收款，即亚信在收到上游款项后再支付阿里，无需亚信垫资支付，同时不要求亚信承担任何相关违约责任等内容；
2、签署到货报告约定：预计到货后15日之内签署到货报告，事业部承诺在签署到货报告时间前提供合规物流单号、沟通往来凭证；在我司收到上游签署的到货报告后，再向阿里签署到货报告;
3、付款及开票计划：目前暂无明细付款计划，预计12月与浪潮及阿里落实整体收付款计划；预付款无需开票，到货款阶段开具100%发票。不论啥时候付款，我方承诺背靠背不垫资</t>
  </si>
  <si>
    <t>【浪潮计算机科技有限公司】-中国移动2025年至2026年人工智能通用计算设备（推理型）集中采购项目-订单12（中国移动集采下单64台低网）</t>
  </si>
  <si>
    <t>1NJ258582A</t>
  </si>
  <si>
    <t>未验收，部分回款。
2026/3/16已回全部预付款48,635,050，到货款  48,635,050 未回</t>
  </si>
  <si>
    <t>【浪潮计算机科技有限公司】-中国移动2025年至2026年人工智能通用计算设备（推理型）集中采购项目-订单11（中国移动集采下单9台高网）</t>
  </si>
  <si>
    <t>1NJ250138A</t>
  </si>
  <si>
    <t>【浪潮计算机科技有限公司】-中国移动2025年至2026年人工智能通用计算设备（推理型）集中采购项目-订单10（辽宁移动政务云2台订单）</t>
  </si>
  <si>
    <t>1NJ258586A</t>
  </si>
  <si>
    <t>2025-12-15</t>
  </si>
  <si>
    <t>【浪潮计算机科技有限公司】-中国移动2025年至2026年人工智能通用计算设备（推理型）集中采购项目-订单1（广州移动政务云4台订单）</t>
  </si>
  <si>
    <t>1NJ258583A</t>
  </si>
  <si>
    <t>2025-12-22</t>
  </si>
  <si>
    <t>【浪潮计算机科技有限公司】-中国移动2025年至2026年人工智能通用计算设备（推理型）集中采购项目-订单14（中国移动集采下单9台高网2-浙江大区）</t>
  </si>
  <si>
    <t xml:space="preserve"> 1NJ261533A </t>
  </si>
  <si>
    <t>验收计划时间：2026/6/30
预付款回款计划：2026/6/30（余额  6,839,304 ）
到货款回款计划：2026/9/30（余额  6,839,304 ）</t>
  </si>
  <si>
    <t>【浪潮计算机科技有限公司】-中国移动2025年至2026年人工智能通用计算设备（推理型）集中采购项目-订单23（区域下单10台高网2）</t>
  </si>
  <si>
    <t xml:space="preserve"> 1NJ261538A </t>
  </si>
  <si>
    <t>未验收，部分回款。
2026/3/27已回全部预付款  7,599,227 ，到货款    7,599,227 未回</t>
  </si>
  <si>
    <t>验收计划时间：2026/6/30
到货款回款计划：2026/9/30（余额 7,599,227 ）</t>
  </si>
  <si>
    <t>【浪潮计算机科技有限公司】-中国移动2025年至2026年人工智能通用计算设备（推理型）集中采购项目-订单20（上海移动集采下单3台高网2）</t>
  </si>
  <si>
    <t xml:space="preserve"> 1NJ261532A </t>
  </si>
  <si>
    <t>【浪潮计算机科技有限公司】-中国移动2025年至2026年人工智能通用计算设备（推理型）集中采购项目-订单21（团队项目汇总发货13台高网2）</t>
  </si>
  <si>
    <t xml:space="preserve"> 1NJ261534A </t>
  </si>
  <si>
    <t>验收计划时间：2026/6/30
预付款回款计划：2026/6/30（余额  9,878,994 ）
到货款回款计划：2026/9/30（余额  9,878,994 ）</t>
  </si>
  <si>
    <t>【浪潮计算机科技有限公司】-中国移动2025年至2026年人工智能通用计算设备（推理型）集中采购项目-订单22（四川大区下单2台高网2-政务云）</t>
  </si>
  <si>
    <t xml:space="preserve"> 1NJ261535A </t>
  </si>
  <si>
    <t>验收计划时间：2026/6/30
预付款回款计划：2026/6/30（余额  1,519,845 ）
到货款回款计划：2026/9/30（余额  1,519,845 ）</t>
  </si>
  <si>
    <t>【浪潮计算机科技有限公司】-中国移动2025年至2026年人工智能通用计算设备（推理型）集中采购项目-订单19（北京移动集采下单10台高网2）</t>
  </si>
  <si>
    <t xml:space="preserve"> 1NJ261537A </t>
  </si>
  <si>
    <t>验收计划时间：2026/6/30
预付款回款计划：2026/6/30（余额  7,599,227 ）
到货款回款计划：2026/9/30（余额  7,599,227 ）</t>
  </si>
  <si>
    <t>【浪潮计算机科技有限公司】-中国移动2025年至2026年人工智能通用计算设备（推理型）集中采购项目-订单24（区域下单10台高网2）</t>
  </si>
  <si>
    <t xml:space="preserve"> 1NJ261666A </t>
  </si>
  <si>
    <t>吴俊泽</t>
  </si>
  <si>
    <t>【601】-综合产业经济数据治理服务项目</t>
  </si>
  <si>
    <t>目前已向供应商支付回款100%，我司回款100%，项目结束</t>
  </si>
  <si>
    <t>1BJ252170A</t>
  </si>
  <si>
    <t xml:space="preserve"> 背靠背付款、预付50%、初验50% </t>
  </si>
  <si>
    <t>已付款比例 100%  项目回款100% 金额 7742400元</t>
  </si>
  <si>
    <t>事业部承诺垫资周期为3个月，并在过程中严格控制成本。</t>
  </si>
  <si>
    <t>7月付50%8月收50%；9月付50%，预计10月回50%</t>
  </si>
  <si>
    <t>【601】-综合文化数据治理服务项目</t>
  </si>
  <si>
    <t>1BJ252169A</t>
  </si>
  <si>
    <t>已付款比例 100%，项目回款100% 金额2839614.38 元</t>
  </si>
  <si>
    <t>贾宏伟</t>
  </si>
  <si>
    <t>利安人寿大模型服务器采购项目</t>
  </si>
  <si>
    <t>利安人寿保险股份有限公司</t>
  </si>
  <si>
    <t>未中标</t>
  </si>
  <si>
    <t>大修系统智能问数问答项目服务采购合同</t>
  </si>
  <si>
    <t>非白名单客户背靠背付款无预付项目，目前正常交付中</t>
  </si>
  <si>
    <t>1BJ256998A</t>
  </si>
  <si>
    <t>阶段上线30%;终验60%;质保10%(终验后1年)</t>
  </si>
  <si>
    <t>上线</t>
  </si>
  <si>
    <t>25年9月底合同大签，目前项目交付正常。</t>
  </si>
  <si>
    <t>事业部承诺回款预计时间：上线首付款：2026年4月15日；终验款：2026年12月31日；质保款：2027年12月31日</t>
  </si>
  <si>
    <t>项目已签约，目前是在调研和部分场景设计阶段</t>
  </si>
  <si>
    <t>蒙东矿建国能雁宝矿区5G专网建设项目</t>
  </si>
  <si>
    <t>内蒙古蒙东矿建工程有限公司</t>
  </si>
  <si>
    <r>
      <t xml:space="preserve">垫资项目，已回15%预付款，当前因调试出现问题还未进行初验，初验款回款超垫资承诺；下游已支付货款705万元；
</t>
    </r>
    <r>
      <rPr>
        <sz val="10"/>
        <color rgb="FF000000"/>
        <rFont val="等线"/>
        <charset val="134"/>
      </rPr>
      <t xml:space="preserve">
10月大签项目，10%预付款11月已回款，前序因调试出现问题，还未进行初验，超出垫资承诺初验款在25年12月31日前收回。</t>
    </r>
  </si>
  <si>
    <t>1BJ257530A</t>
  </si>
  <si>
    <t xml:space="preserve"> 预付15%;初验10%;终验15%;第二期30%(终验后5个月);第三期30%(终验后17个月) </t>
  </si>
  <si>
    <t>垫资逾期：红，15%首付款已回款；</t>
  </si>
  <si>
    <t>26年3月变更：1、由于之前方案无法满足客户验收需求，特此变更为联通深度合作的方案，特此释放不含税成本5161400元，用于联通服务采购成本5471000元含税。整体预算不增加，仅做预算科目调整，变更后需从POM（工时、差旅、技术外包）调整到PMS代理服务预算。其余预算用作工时、差旅和施工技术分包采购。已经通过ESU班委会决策通过。2、财务风险可控：本次变更影响收入变动约5万，经财务部门评估由于项目目前主要为我方主导，交付的是亚信品牌的自研基站，计划从净额法变更为总额法确认收入，以控制财务风险。</t>
  </si>
  <si>
    <t xml:space="preserve">6,705,610.00+350000
</t>
  </si>
  <si>
    <t>累计签署11个采购合同，合计12597200元；项目整体按代理服务操作
目前项目组正在申请增加697万的预算
目前第三方签署了9.5万+技术外包456,900.00合同审批中</t>
  </si>
  <si>
    <t>一、承诺付款时间： 预付款：2473890.732，2025年10月31日前； 初验款：1649260.488，2025年12月31日前； 终验款：2473890.732，2026年6月15日前； 第二期付款：4947781.464，2026年11月3日前； 第三期付款：4947781.464，2027年11月3日前；</t>
  </si>
  <si>
    <t>系统调试过程中出现问题，初验时间待确认。</t>
  </si>
  <si>
    <t>芦延青</t>
  </si>
  <si>
    <t>中海油信科大模型算力一体机采购二期</t>
  </si>
  <si>
    <t>中海油信息科技有限公司</t>
  </si>
  <si>
    <t>垫资风险项目，采购合同已签，暂未付款</t>
  </si>
  <si>
    <t>1BJ258665A</t>
  </si>
  <si>
    <t xml:space="preserve"> 验收100%(初验) </t>
  </si>
  <si>
    <t>测收在2603</t>
  </si>
  <si>
    <t>项目正常推进</t>
  </si>
  <si>
    <t>合同签订付50%，验收后付50%</t>
  </si>
  <si>
    <t>合同总额：3589608，其中2台设备￥3356928，软件￥155520，软件维保￥38160，云平台交付服务包￥39000</t>
  </si>
  <si>
    <t xml:space="preserve">1、合同形式变化影响收入及利润：10月已签第一份合同为经报EMT特批有条件通过，目前第二份合同因合同形式问题未能实现承诺且差距很大，导致签约链条变长影响回款，两份合同收入无法按总额确收且总体利润水平下降，此情况已二次提报领导审批；
2、潜在垫资风险存在：当前根据事业部计划可以做到先收后付，可避免垫资；但由于合同未签署背靠背条款，潜在垫资风险无法避免； 
</t>
  </si>
  <si>
    <t>中海油信科大模型算力一体机采购一期</t>
  </si>
  <si>
    <t>亏损合同；垫资；纯外购软硬件—利润率低于5%且低于100万</t>
  </si>
  <si>
    <t>垫资风险项目，12月已回款100%，采购合同已签，暂未付款。</t>
  </si>
  <si>
    <t>1BJ257827A</t>
  </si>
  <si>
    <t xml:space="preserve"> 到货验收100% </t>
  </si>
  <si>
    <t>12月回验收款100%</t>
  </si>
  <si>
    <t>项目交付完成</t>
  </si>
  <si>
    <t>1、承诺在采购合同中，增加一定的付款条件、罚则等风险控制条款，在交付以及后续质保方面严格按照背对背的条款，进行签署
2、承诺在合同执行过程中，把控主动权。
3、承诺在前期交付过程中，控制成本投入，尤其是现场服务等投入资源，通过远程+部分现场的方式，减少亚信自身的投入，降低亚信的支出。保证我方利润。                                                                                                                                                                               4、付款时间：合同签署后，卖方在合同规定的期限内将货物运送到交货地点，并完成设备及软件安装调试，正常运行1个月无故障，经买方签字确认验收合格，买方在收到卖方开具满足要求的全额增值税专用发票后，按付款周期要求，买方支付合同总价的【100%】。
5、，第二个合同预计为本年度10月底签完，预计金额为239w，第三个合同为20w，预计在12月30号之前签回；                                                                                                                                                                                                                                                     6、本项目为硬件采购项目，且目前已经投入运行，后续基本不会有其他成本投入，即使设备有问题也会原厂解决；</t>
  </si>
  <si>
    <t>2025-2026年龙源电力新能源数字化系统程序代码驻场编写及运维服务（第二批）采购合同（标段一）</t>
  </si>
  <si>
    <t>龙源（北京）新能源工程技术有限公司</t>
  </si>
  <si>
    <t>纯外采—纯技术分包或报出含外采服务</t>
  </si>
  <si>
    <t>1BJ258566A</t>
  </si>
  <si>
    <t>针对下游与供应商合同要求约定以下几点
1、背靠背付款
2、甲方在收到最终用户签署的验收合格证书后15日内完成对乙方的验收，如甲方最终用户以明示或默示方式表示验收未通过，则甲方验收不通过；
3、约定合同金额已经包括违约费用，若甲方延期付款，不再另行支付违约金。</t>
  </si>
  <si>
    <t>李运江</t>
  </si>
  <si>
    <t>【大模型】阿里云能力中心框架-阿里云&amp;NRE驻场交付服务</t>
  </si>
  <si>
    <t>亏损合同</t>
  </si>
  <si>
    <t>亏损项目，已按承诺回30%首付款；
剩余70%合同款项承诺在26年12月回款</t>
  </si>
  <si>
    <t>2025-12-16</t>
  </si>
  <si>
    <t>1BJ258924A</t>
  </si>
  <si>
    <t xml:space="preserve"> 首付款30%|终验款70% </t>
  </si>
  <si>
    <t>202605</t>
  </si>
  <si>
    <t>终验</t>
  </si>
  <si>
    <t>阿里能力中心项目，按costrate 1200测算，毛利率-22.9%。战略性亏损通过前置特批。</t>
  </si>
  <si>
    <t>1、回款具体时间承诺：
根据该项目PO订单的商务支付条款正常进度回款，阿里已经完成了首付款30%的支付审批流程，待亚信完成该订单合同的盖章，即启动首付款支付，预计在26年1月回款；剩余70%合同款项预计在26年12月回款。
2、交付质量保证承诺：
无任何交付风险，该项目的3人年技术服务订单的主要交付物就是客户对亚信提供技术服务的3名人员进行面试确认，一旦面试通过这3名人员的工作内容和要求都是阿里直接负责管理，所以不存在实质性项目交付风险，也不存在第三方验收。目前已经有3名候选人基本通过阿里的面试与认可，就等合同盖章完成后进行交付执行，本订单合同终验时间预计在26年12月底完成。
3、利润达标承诺：
本项目略有亏损属于市场策略性亏损，无任何商务费用和渠道费用的投入，仅人工成本投入。</t>
  </si>
  <si>
    <t>项目正在交付中，1月已回预付款</t>
  </si>
  <si>
    <t>王泽磊</t>
  </si>
  <si>
    <t>【大模型】阿里能力中心框架-百胜AI点餐agent定制服务</t>
  </si>
  <si>
    <t>通义云启（杭州）信息技术有限公司</t>
  </si>
  <si>
    <t>百胜咨询（上海）有限公司</t>
  </si>
  <si>
    <t>非白名单客户无预付款且背靠背收款</t>
  </si>
  <si>
    <t>正常交付中</t>
  </si>
  <si>
    <t>2025-12-18</t>
  </si>
  <si>
    <t>1BJ251314A</t>
  </si>
  <si>
    <t xml:space="preserve"> 上线款20%|二次付款9%|三次付款9%|四次付款9%|五次付款9%|尾款44% </t>
  </si>
  <si>
    <t>202606</t>
  </si>
  <si>
    <t>客户业务部门目前尚不具备验收条件，具体验收时间待定，已跟阿里沟通，获取客户业务方问题，加快验收。</t>
  </si>
  <si>
    <t>回款具体时间承诺：
1、上线款20%：预计2026年1月回款
2、四个季度的运营服务款44%：预计2026年1月回款
3、【乙方完成第一季度的运维服务】9%：预计2027年4月回款
4、【乙方完成第二季度的运维服务】9%：预计2027年7月回款
5、【乙方完成第三季度的运维服务】9%：预计2027年10月回款
6、【乙方完成第四季度的运维服务】9%：预计2027年12月回款
交付承诺：
验收时间：经过和最终客户交流，最终客户认可我方交付内容，预计在25年12月底上线铺量大神卡用户，同时给阿里侧支付64%上线及运营款项，该时间节点可视为验收。
验收质量：目前客户对交付质量无疑问，本月底正式上线。</t>
  </si>
  <si>
    <t>正常交付中,预计2月回款</t>
  </si>
  <si>
    <t>徐红伟</t>
  </si>
  <si>
    <t>中移智捷与亚信科技（中国）有限公司关于2025年交通运输综合物流信息汇聚平台升级改造项目合同</t>
  </si>
  <si>
    <t>中移智捷科技（北京）有限公司</t>
  </si>
  <si>
    <t>湖南省高速公路集团有限公司供应链分公司</t>
  </si>
  <si>
    <t>合同签约链条过长；非白名单客户无预付款且背靠背收款；纯外采—纯技术分包或报出含外采服务</t>
  </si>
  <si>
    <t>1BJ250198A</t>
  </si>
  <si>
    <t xml:space="preserve"> 首付款60%|终验款40% </t>
  </si>
  <si>
    <t>2026/1/9代理服务，采购合同审批中，未付款状态</t>
  </si>
  <si>
    <t>01.承诺在上游甲方收到相应款款的30日内，完成向亚信打款。
02.承诺关注供应商交付进度及质量，确保能顺利完成合同约定的验收时间及标准
03.承诺以上5个项目，GM不低于6.0%
04.承诺严控供应商选定及风控条款落实事宜
05.承诺其他方面均符合公司相关管理要求。我司在项目交付及时间节点把控方面会及时跟进，持续保持高标准交付和客户关系维系工作，确保交付、验收、考核、回款项目全生命周期的稳定健康发展。</t>
  </si>
  <si>
    <t>严格按照承诺条件开展相关工作</t>
  </si>
  <si>
    <t>与上游客户已完成收入合同签订，与下游供应商采购合同于今日（2026年1月9日）已审批完结，预计下周三完成采购合同归档。</t>
  </si>
  <si>
    <t>赵铮</t>
  </si>
  <si>
    <t>深圳追一科技有限公司与亚信科技（中国）有限公司关于2025年云客服基线版本系统开发服务项目合同</t>
  </si>
  <si>
    <t>深圳追一科技有限公司</t>
  </si>
  <si>
    <t>合同签约链条过长</t>
  </si>
  <si>
    <t>1BJ250199A</t>
  </si>
  <si>
    <t xml:space="preserve"> 首付款50%|终验款50% </t>
  </si>
  <si>
    <t>01.承诺进度款预计26年6月前到帐，验收款预计26年9月前到帐。
02.承诺GM不低于16%
03.承诺不涉及外采，不涉及转包分包
04.承诺按照合同约定进度50% 和验收通过30日内，收到对应款项
05.承诺加强与上游甲方合作关系，提升交付和持续合作基础</t>
  </si>
  <si>
    <t>项目交付工作正常开展中</t>
  </si>
  <si>
    <t>中移智捷与亚信科技（中国）有限公司关于2025年智慧科技交通服务系统整合升级项目合同</t>
  </si>
  <si>
    <t>河北高速公路集团有限公司</t>
  </si>
  <si>
    <t>合同签约链条过长；纯外采—纯技术分包或报出含外采服务</t>
  </si>
  <si>
    <t>已回款50%，正常交付中</t>
  </si>
  <si>
    <t>1BJ250127A</t>
  </si>
  <si>
    <t xml:space="preserve"> 首付款50%|初验款20%|终验款30% </t>
  </si>
  <si>
    <t>2026/4/3采购验收中，计划本月提交亚信回款对应比例付款</t>
  </si>
  <si>
    <t>与上游客户已完成收入合同签订，与下游供应商采购合同于今日（2026年1月9日）已审批完结，预计下周三完成采购合同归档。12月底甲方计提88%进度，验收工作准备中</t>
  </si>
  <si>
    <t>中移智捷与亚信科技（中国）有限公司关于2025年招商证券智能对话管理平台升级改造项目合同</t>
  </si>
  <si>
    <t>招商证券股份有限公司</t>
  </si>
  <si>
    <t>1BJ250126A</t>
  </si>
  <si>
    <t xml:space="preserve"> 首付款70%|验收款30% </t>
  </si>
  <si>
    <t>香港啟德體育園場館預訂系統（VBS）的運維服務-订单</t>
  </si>
  <si>
    <t>香港運享通信息科技有限公司</t>
  </si>
  <si>
    <t>1HK250265A</t>
  </si>
  <si>
    <t xml:space="preserve"> 首付款20%|二次付款20%|三次付款20%|四次付款20%|五次付款20% </t>
  </si>
  <si>
    <t>每年维护期结束30个自然日之内支付.即
2027年1月30日之前第一笔回款；2028年1月30日之前第二笔回款；
2029年1月30日之前第三笔回款；2030年1月30日之前第四笔回款；2031年1月30日之前第五笔回款；</t>
  </si>
  <si>
    <t>合同已签订，按照合约正常维护中.</t>
  </si>
  <si>
    <t>王东</t>
  </si>
  <si>
    <t>贵州移动国产算力池建设项目产品及集成合同</t>
  </si>
  <si>
    <t>广州智算信息技术有限公司</t>
  </si>
  <si>
    <t>贵州移动信息科技有限公司</t>
  </si>
  <si>
    <t>纯外采—非背靠背或垫资</t>
  </si>
  <si>
    <t>预付款50%已回，本版测收在3月，一体机采购合同已签署，暂未付款；</t>
  </si>
  <si>
    <t>2025-12-29</t>
  </si>
  <si>
    <t>1BJ259528A</t>
  </si>
  <si>
    <t xml:space="preserve"> 预付款50%|到货款50% </t>
  </si>
  <si>
    <t>合同签订50%，到货验收50%</t>
  </si>
  <si>
    <t>大模型一体机已经完成采购，涉及金额24,320,000。
还有18万的耗材，尚未采购，等待项目组的请购单</t>
  </si>
  <si>
    <t>智算于2月15日前预付50%，5月20日前到货验收付50%;
亚信与下游合同会是2月28日预付50%，5月31日到货验收付50%。</t>
  </si>
  <si>
    <t>目前智算正在和移动沟通设备测试细节，沟通现场方案</t>
  </si>
  <si>
    <t>在线服务公司浙江分公司与亚信科技（中国）有限公司关于2025年高速公共服务系统升级改造项目合同</t>
  </si>
  <si>
    <t>中移在线服务有限公司浙江分公司</t>
  </si>
  <si>
    <t>浙江高速公路智能收费运营服务有限公司</t>
  </si>
  <si>
    <t>已回款85%，正常交付中</t>
  </si>
  <si>
    <t>1BJ259566A</t>
  </si>
  <si>
    <t xml:space="preserve"> 首付款85%|终验款12%|质保款3% </t>
  </si>
  <si>
    <t>01.承诺在上游甲方收到相应款款的30日内，完成向亚信打款。
03.承诺以上5个项目，GM不低于6.0%
04.承诺严控供应商选定及风控条款落实事宜</t>
  </si>
  <si>
    <t>与上游客户已完成收入合同签订，与下游供应商采购合同于今日（2026年1月9日）已审批完结，预计下周三完成采购合同归档。12月底甲方计提85%进度，本周已完成85%进度验收及开票工作，预计1月中下旬会收到85%进度款。</t>
  </si>
  <si>
    <t>张渝波</t>
  </si>
  <si>
    <t>广东移动2026年客户日常事务服务支撑合作合同</t>
  </si>
  <si>
    <t>广州千朵科技有限公司</t>
  </si>
  <si>
    <t>中国移动通信集团广东有限公司</t>
  </si>
  <si>
    <t>2025-12-25</t>
  </si>
  <si>
    <t>1BJ259378A</t>
  </si>
  <si>
    <t>承诺按以下时间节点收款：
• 2026年1-6月服务费（43,200元）：于2026年9月底收回。
• 2026年7-12月服务费（43,200元）：于2027年3月底收回。</t>
  </si>
  <si>
    <t>闵小乐</t>
  </si>
  <si>
    <t>中国移动贵州公司市场部2025至2027年（24个月）运营支撑项目</t>
  </si>
  <si>
    <t>重庆协洽科技有限公司</t>
  </si>
  <si>
    <t>中国移动通信集团贵州有限公司</t>
  </si>
  <si>
    <t>1BJ250147A</t>
  </si>
  <si>
    <t xml:space="preserve"> 首付款20%|二次付款20%|三次付款20%|四次付款20%|尾款20% </t>
  </si>
  <si>
    <t>回款承诺:2026年5月30日,第1次款付;2026年8月30日,第2次款付;2026年11月30日,第3次款付;2027年2月30日,第4次款付;2027年5月30日,第5次款付
交付承诺:艾瑞100%实施,按季度验收,能满足交付标准
利润承诺:合同利润率(GM1):20%</t>
  </si>
  <si>
    <t>项目实施中，1季度以后开始验收流程</t>
  </si>
  <si>
    <t>杭州大坝科技有限公司与亚信科技（中国）有限公司关于2025年智慧交通服务系统升级改造项目合同（包2）</t>
  </si>
  <si>
    <t>杭州大坝科技有限公司</t>
  </si>
  <si>
    <t>1BJ250139A</t>
  </si>
  <si>
    <t>李贵宾</t>
  </si>
  <si>
    <t>中国广电国家文化大数据服务平台算力底座（移动端支撑部分）系统采购合同</t>
  </si>
  <si>
    <t>北京网藤科技有限公司</t>
  </si>
  <si>
    <t>中国广电网络股份有限公司</t>
  </si>
  <si>
    <t>合同签约链条过长；非白名单客户无预付款且背靠背收款；纯外购软硬件—利润率低于5%且低于100万</t>
  </si>
  <si>
    <t>目前正常交付组</t>
  </si>
  <si>
    <t>1BJ250183A</t>
  </si>
  <si>
    <t xml:space="preserve"> 预付款80%|终验款20% </t>
  </si>
  <si>
    <t>合同12月底签约，正常执行</t>
  </si>
  <si>
    <t>合同签订80%，到货验收20%（目前正在跟阿里上图是否能按照背靠背描述签约）</t>
  </si>
  <si>
    <t>销售合同大签， 预计采购金额： 8,250,318，目前正在跟阿里沟通合同条款中</t>
  </si>
  <si>
    <t>1. 项目不垫资
2. 26年1月首付款（80%）、3月到货款（20%）；</t>
  </si>
  <si>
    <t>赵卫榜</t>
  </si>
  <si>
    <t>2025年安全辅助支撑平台系统建设工程技术服务合同</t>
  </si>
  <si>
    <t>南京亚信智网科技有限公司</t>
  </si>
  <si>
    <t>中国电信股份有限公司全渠道运营中心</t>
  </si>
  <si>
    <t>目前正常交付中</t>
  </si>
  <si>
    <t>1NJ257231A</t>
  </si>
  <si>
    <t xml:space="preserve"> 预付款30%|初验款50%|终验款20% </t>
  </si>
  <si>
    <t>1）2026/7月回初验款，2026/10回终验款，
2)GM 36%，利润可控</t>
  </si>
  <si>
    <t>潘源</t>
  </si>
  <si>
    <t>交通数字化转型试点项目一期（一阶段）软件开发合同</t>
  </si>
  <si>
    <t>上海电科智能系统股份有限公司</t>
  </si>
  <si>
    <t>12月签署合同，预付款应收，本版测收在6月，晚于承诺的2月回款</t>
  </si>
  <si>
    <t>1NJ250185A</t>
  </si>
  <si>
    <t xml:space="preserve"> 预付款20%|初验款40%|终验款30%|尾款10% </t>
  </si>
  <si>
    <t xml:space="preserve"> 签约 </t>
  </si>
  <si>
    <t>事业部承诺该项目四笔款项预估回款时间分别为26年2月、9月、12月、28年12月。</t>
  </si>
  <si>
    <t>陈继生</t>
  </si>
  <si>
    <t>亚信智网大数据业务技术服务合同</t>
  </si>
  <si>
    <t>天翼数字生活科技有限公司</t>
  </si>
  <si>
    <t>12月签署合同，预付款应收，本版测收在4月，晚于承诺的2月回款</t>
  </si>
  <si>
    <t>1BJ250164A</t>
  </si>
  <si>
    <t xml:space="preserve"> 预付款60%|终验款40% </t>
  </si>
  <si>
    <t>回款按验收进度：2026/2⽉回预付款，2026/10回终验款。
合同签约完成60%预付款，终验款半年后回收。</t>
  </si>
  <si>
    <t>蔡登科</t>
  </si>
  <si>
    <t>【公共服务】服务采购主协议-亚信科技WD0001488</t>
  </si>
  <si>
    <t>北京火山引擎科技有限公司</t>
  </si>
  <si>
    <t>上海市杨浦区数据局（上海市杨浦区信息化委员会、上海市杨浦区政务服务办公室）</t>
  </si>
  <si>
    <t>黑名单客户；合同签约链条过长</t>
  </si>
  <si>
    <t>已回30%首付款</t>
  </si>
  <si>
    <t>1BJ253520A</t>
  </si>
  <si>
    <t xml:space="preserve"> 预付款30%|终验款40%|三次付款20%|质保款10% </t>
  </si>
  <si>
    <t>四笔进度款分别预计回款时间，26年2月、6月、9月、29年11月。</t>
  </si>
  <si>
    <t>张小燕</t>
  </si>
  <si>
    <t>微服务开发平台自主可控研究与实施技术开发合同</t>
  </si>
  <si>
    <t>上海睿思智行科技有限公司</t>
  </si>
  <si>
    <t>中国长江电力股份有限公司</t>
  </si>
  <si>
    <t>已回60%首付款</t>
  </si>
  <si>
    <t>2025-12-10</t>
  </si>
  <si>
    <t>1NJ258730A</t>
  </si>
  <si>
    <t xml:space="preserve"> 首付款60%|初验款20%|终验款17%|质保款3% </t>
  </si>
  <si>
    <t>回款节奏：  承诺第一笔回款明年2月，第二笔回款明年10月，第三笔回款后年2月。</t>
  </si>
  <si>
    <t>CU-北一区销售服务二部</t>
  </si>
  <si>
    <t>尹辉</t>
  </si>
  <si>
    <t>四川西部天时网络技术有限公司技术开发服务合同（企业供应商标前选型业务管理平台建设项目）</t>
  </si>
  <si>
    <t>四川西部天时网络技术有限公司</t>
  </si>
  <si>
    <t>签约客户D级；合同签约链条过长</t>
  </si>
  <si>
    <t>1BJ256730A</t>
  </si>
  <si>
    <t xml:space="preserve"> 首付款100% </t>
  </si>
  <si>
    <t>竣工</t>
  </si>
  <si>
    <t>未挂牌</t>
  </si>
  <si>
    <t>承诺：①2026年2月初给我司发入场通知，3月完成回款100%，进场实施前完成回款；②利润率28%，自交付，成本可控；③后续探索与四川产互签署软件开发类合同框架，争取直签模式。</t>
  </si>
  <si>
    <t xml:space="preserve">
CU-数据与行业拓展部</t>
  </si>
  <si>
    <t>佟宝亮</t>
  </si>
  <si>
    <t>中国矿产资源集团有限公司高质量数据集与资产管理能力建设（标段2：高质量数据集与垂直大模型）</t>
  </si>
  <si>
    <t>中国矿产资源集团有限公司</t>
  </si>
  <si>
    <t>垫资；纯外采—纯技术分包或报出含外采服务</t>
  </si>
  <si>
    <t>12月签署合同，20%预付款已回</t>
  </si>
  <si>
    <t>1BJ257283A</t>
  </si>
  <si>
    <t xml:space="preserve"> 预付款20%|初验款60%|终验款20% </t>
  </si>
  <si>
    <t>预计4月底终验，正在准备终验的材料</t>
  </si>
  <si>
    <t>无第三方预算，有技术外包，外包合同未签署</t>
  </si>
  <si>
    <t>1)争取将与下游的签约时间往后拖，同时体促中矿客户在合同签约后，尽快完成首付款的支付。
2)、如上游未按期回款，即要求下游停止交付，待回款正常后再恢复支撑。
3)、各里程碑节点，都是与上游保持一致。
4)、通过以下策略来约束下游供应商;a、收取下游的10%履约保证金保证交付质量，避免公司托底。b、在甲方的考核要求基础上，酌情加大对下游供应商的考核力度，来保证交付质量，避免公司托底。</t>
  </si>
  <si>
    <t>CU-北二区销售服务二部</t>
  </si>
  <si>
    <t>杨英杰</t>
  </si>
  <si>
    <t>河南旭盛新能源有限公司AI机器视觉采集与计算服务项目合同（河南产互）</t>
  </si>
  <si>
    <t>河南旭盛新能源有限公司</t>
  </si>
  <si>
    <t>合同签约链条过长；垫资</t>
  </si>
  <si>
    <t>60%预付款应收，已回款44%，剩余应收</t>
  </si>
  <si>
    <t>1BJ257314A</t>
  </si>
  <si>
    <t xml:space="preserve"> 预付款60%|终验款30%|质保款15%|质保款25% </t>
  </si>
  <si>
    <t>预付款未完全回款。预付款回款前暂未实施投入成本。</t>
  </si>
  <si>
    <t>68250元，到货后付100%，其他要求预付100%</t>
  </si>
  <si>
    <t>PRD产品已经在采购中，预计采购金额为：318,512
其中23万预付款申请中</t>
  </si>
  <si>
    <t>中国矿产资源集团大数据有限公司铁矿石产业大数据与AI分析模型的深度融合与应用研究项目</t>
  </si>
  <si>
    <t>中国矿产资源集团大数据有限公司</t>
  </si>
  <si>
    <t>40%预付款已回</t>
  </si>
  <si>
    <t>2025-12-12</t>
  </si>
  <si>
    <t>1BJ258846A</t>
  </si>
  <si>
    <t xml:space="preserve"> 预付款40%|初验款30%|终验款30% </t>
  </si>
  <si>
    <t>刚开始</t>
  </si>
  <si>
    <t>TASK1模式操作，采购合同审批中，总额82万，未付款</t>
  </si>
  <si>
    <t>事业部承诺：
1、承诺争取将与下游的签约时间往后拖，同时催促中矿客户在合同签约后，尽快完成首付款的支付。
2、承诺如上游未按期回款，即要求下游停止交付，待回款正常后再恢复支撑。
3、承诺各里程碑节点，都是与上游保持一致。
4、承诺通过以下策略来约束下游供应商：1）收取下游的5%履约保证金保证交付质量，避免公司托底。2）在甲方的考核要求基础上，酌情加大对下游供应商的考核力度，来保证交付质量，避免公司托底。</t>
  </si>
  <si>
    <t>1BJ257418A</t>
  </si>
  <si>
    <t>魏童</t>
  </si>
  <si>
    <t>中译语通科技（陕西）有限公司研究管理培训平台项目技术开发服务合同</t>
  </si>
  <si>
    <t>中译语通科技（陕西）有限公司</t>
  </si>
  <si>
    <t>40%预付款已回。</t>
  </si>
  <si>
    <t>2025-12-19</t>
  </si>
  <si>
    <t xml:space="preserve"> 预付款40%|上线款50%|质保款10% </t>
  </si>
  <si>
    <t>无外包预算，无第三方预算</t>
  </si>
  <si>
    <t>①预估回款时间：2025年12月底预计回预付款40%，2026年5月底预计回上线款50%，2027年7月底预计回质保款10%。②GM1=20%，自交付，成本可控。③后续已规划二期项目方案可信数据空间产品。</t>
  </si>
  <si>
    <t>CU-OSS拓展部</t>
  </si>
  <si>
    <t>沈洲</t>
  </si>
  <si>
    <t>北京信达网安-2025年中讯邮电咨询设计院有限公司国际SD-WAN业务运营平台开发</t>
  </si>
  <si>
    <t>北京信达网安信息技术有限公司</t>
  </si>
  <si>
    <t>中讯邮电咨询设计院有限公司</t>
  </si>
  <si>
    <t>2025-12-26</t>
  </si>
  <si>
    <t>1BJ259450A</t>
  </si>
  <si>
    <t xml:space="preserve"> 初验款50%|终验款50% </t>
  </si>
  <si>
    <t xml:space="preserve">项目开发的差不多了，正在按用户要求，做代码验收那一部分
</t>
  </si>
  <si>
    <t>根据中讯院以往项目经验，100%回款需要约1年时间，预计收到初验款时间2026年6月底，2026年12月底回款100%。</t>
  </si>
  <si>
    <t>CU-总部区</t>
  </si>
  <si>
    <t>叶斌</t>
  </si>
  <si>
    <t>2025年中国联通数科山分新一代智慧物业监管平台研发项目技术服务合同</t>
  </si>
  <si>
    <t>山邮数字科技（山东）有限公司</t>
  </si>
  <si>
    <t>联通数字科技有限公司山东省分公司</t>
  </si>
  <si>
    <t>合同签约链条过长；非白名单客户无预付款且背靠背收款</t>
  </si>
  <si>
    <t>1BJ259471A</t>
  </si>
  <si>
    <t xml:space="preserve"> 上线款50%|初验款30%|终验款20% </t>
  </si>
  <si>
    <t>①预估回款时间：上线款-预计2026年3月；初验款-预计2026年5月；终验款-预计2026年12月。②GM1=24%。③后续持续跟进云管平台重构项目。</t>
  </si>
  <si>
    <t>CU-北一区销售服务一部</t>
  </si>
  <si>
    <t>李惠星</t>
  </si>
  <si>
    <t>2025年吉林联通宽带运营支撑平台宽带溯源系统XC改造软件开发采购合同</t>
  </si>
  <si>
    <t>中国联合网络通信有限公司吉林省分公司</t>
  </si>
  <si>
    <t>1BJ259408A</t>
  </si>
  <si>
    <t xml:space="preserve"> 初验款80%|终验款15%|尾款5% </t>
  </si>
  <si>
    <t>已经开发部署完了，等割接上线</t>
  </si>
  <si>
    <t>非背对背支付</t>
  </si>
  <si>
    <t>外包合同总额 56000，非背对背支付，未付款</t>
  </si>
  <si>
    <t>暂无</t>
  </si>
  <si>
    <t>刘度</t>
  </si>
  <si>
    <t>成都文旅数智科技有限公司文旅生活服务平台重点场景驾驶舱建设项目(一期)合同</t>
  </si>
  <si>
    <t>成都文旅数智科技有限公司</t>
  </si>
  <si>
    <t>30%预付款已回，未向下游付款</t>
  </si>
  <si>
    <t>1BJ259107A</t>
  </si>
  <si>
    <t xml:space="preserve"> 预付款30%|初验款40%|终验款30% </t>
  </si>
  <si>
    <t>2026-06-30</t>
  </si>
  <si>
    <t>25年12月份签约，正常交付中</t>
  </si>
  <si>
    <t>甲方收全款后再支付给乙方，不垫资</t>
  </si>
  <si>
    <t>1、承诺最终客户全部付款不晚于2026年2月28日
2、承诺保证交付质量良好，且将于2026年1月31日之前完成验收
3、承诺我公司利润不低于18%
4、承诺在项目实施中不存在风险，在与下游交付验收过程中，在收到客户侧全部款项前不会签署各类验收文件报告等，避免在收到全部款项前留下交付事实等文件
5、承诺2026年和最终客户（文旅）新项目超过200万</t>
  </si>
  <si>
    <t>其中承诺的2、3、4已经基本完成</t>
  </si>
  <si>
    <t>1、预付款64500已经到账，由于我方合同签署时间比预期延后，错过客户付款周期，余下款项将于4月内付款完成
2、项目已经开发完成并完成验收
3、新项目正在需求沟通中</t>
  </si>
  <si>
    <t>杨曼</t>
  </si>
  <si>
    <t>东方国信与亚信2025年大数据经营分析系统开发项目（全景家视图专题）软件开发与系统集成服务框架合同</t>
  </si>
  <si>
    <t>北京东方国信科技股份有限公司</t>
  </si>
  <si>
    <t>中移动信息技术有限公司</t>
  </si>
  <si>
    <t>1BJ250134A</t>
  </si>
  <si>
    <t>最终用户对亚信满意度高，可确保按时进行结算。亚信可通过移动侧对国信施压，确保款项及时到位。如国信延续付款，可通过催款函、发起律师函、诉讼等法律手段维护我方权益。</t>
  </si>
  <si>
    <t>陶睿</t>
  </si>
  <si>
    <t>浙大启真未来-飞行服务与审批及系统级支撑技术研发</t>
  </si>
  <si>
    <t>浙大启真未来城市科技（杭州）有限公司</t>
  </si>
  <si>
    <t>1BJ257983A</t>
  </si>
  <si>
    <t xml:space="preserve"> 首付款60%|上线款25%|终验款5%|质保款10% </t>
  </si>
  <si>
    <t>设计方案完成</t>
  </si>
  <si>
    <t>2026-09-30</t>
  </si>
  <si>
    <t>1、涉及合同签署链路较长，跟进前序签署合同情况(前序合同都以签署)。
2、付款条件较差，协同移动客户跟进前序每一个合同节点，共同推进项目验收及回款，缩短我司回款周期。
3、此类项目是新起赛道且是国家发展重点推进项目，与PRD配合借此项目打造标品。</t>
  </si>
  <si>
    <t>对上流程已经完成签署</t>
  </si>
  <si>
    <t>项目交付中</t>
  </si>
  <si>
    <t>杨波</t>
  </si>
  <si>
    <t>萨思【2025-2027年蚂蚁统一搜索项目框架】-下半年Opex开发（调增）</t>
  </si>
  <si>
    <t>萨思数字科技（北京）有限公司</t>
  </si>
  <si>
    <t>非白名单客户无预付款且背靠背收款；合同签约链条过长</t>
  </si>
  <si>
    <t>已回款100%；交付已完毕。已跟踪结束</t>
  </si>
  <si>
    <t>1BJ254002A</t>
  </si>
  <si>
    <t xml:space="preserve"> 终验款100% </t>
  </si>
  <si>
    <t>交付完成，已关闭。项目关闭日期 :
2026-02-28</t>
  </si>
  <si>
    <t>已回款</t>
  </si>
  <si>
    <t>萨思【2025-2027年蚂蚁统一搜索项目框架】-下半年Opex开发</t>
  </si>
  <si>
    <t>1BJ254045A</t>
  </si>
  <si>
    <t>张昱冰</t>
  </si>
  <si>
    <t>黑龙江移动-【2025-2026年互联网直播运营辅助支撑】服务框架合同-【基础运营费（固定金额部分）】</t>
  </si>
  <si>
    <t>中国移动通信集团黑龙江有限公司</t>
  </si>
  <si>
    <t>1NJ258317A</t>
  </si>
  <si>
    <t>阶段1服务报告</t>
  </si>
  <si>
    <t>2026-05-31</t>
  </si>
  <si>
    <t>在抖音运营部分，事业部承诺保证抖音如若抖音侧回款出现问题，所有抖音销售链接将在24小时下架，并及时催促回款</t>
  </si>
  <si>
    <t>按承诺条款执行</t>
  </si>
  <si>
    <t>正常推进，尚未涉及回款问题</t>
  </si>
  <si>
    <t>巫玲</t>
  </si>
  <si>
    <t>浩鲸云-上海移动【2025年政企业务开通透明化稽核工具】技术开发合同</t>
  </si>
  <si>
    <t>浩鲸云计算科技股份有限公司</t>
  </si>
  <si>
    <t>中国移动通信集团上海有限公司</t>
  </si>
  <si>
    <t>1NJ258728A</t>
  </si>
  <si>
    <t xml:space="preserve"> 初验款70%|终验款30% </t>
  </si>
  <si>
    <t>2027-09-30</t>
  </si>
  <si>
    <t>25年12月份签约，继续交付中</t>
  </si>
  <si>
    <t>该项目合同延用移动合同模板，浩鲸与移动分初验款70%终验款30%，与我方背靠背，合同约定浩鲸到账2周内支付给我方。验收条件按照移动验收标准进行。我方会推动浩鲸与移动的验收与回款，以确保我方的回款。</t>
  </si>
  <si>
    <t>已完成上线工作，但产品安全不能满足要求，还需要改造，另外，该项目是通过编排系统分包的，需随浩鲸业务编排项目一起启动验收。</t>
  </si>
  <si>
    <t>萨思科技（2025081333692）搜索与推荐现场运维服务外采</t>
  </si>
  <si>
    <t>1BJ253882A</t>
  </si>
  <si>
    <t xml:space="preserve"> 服务款100% </t>
  </si>
  <si>
    <t>最终用户为中移动信息，可确保按时按量进行结算。亚信可通过移动侧对阿里及蚂蚁施压，确保款项及时到位。如蚂蚁延期付款，可通过催款函、发起律师函、诉讼等法律手段维护我方权益。</t>
  </si>
  <si>
    <t>萨思科技【2025亚信移动搜索项目定开及运维技术外包协议】</t>
  </si>
  <si>
    <t>1BJ259543A</t>
  </si>
  <si>
    <t>彩讯科技（AI-CN-202503020）彩讯股份与亚信科技（中国）有限公司2024-2025年全网大数据产品运营支撑服务合同-25年Q2结算单</t>
  </si>
  <si>
    <t>彩讯科技股份有限公司</t>
  </si>
  <si>
    <t>1BJ256680A</t>
  </si>
  <si>
    <t/>
  </si>
  <si>
    <t>交付完成，已关闭。项目关闭日期 :
2026-01-31</t>
  </si>
  <si>
    <t>最终用户对亚信满意度高，可确保按时按量进行结算。亚信可通过移动侧对彩讯施压，确保款项及时到位。如彩讯延续付款，可通过催款函、发起律师函、诉讼等法律手段维护我方权益。</t>
  </si>
  <si>
    <t>石新源</t>
  </si>
  <si>
    <t>订单—中核海南核电维修支持处50台定制平板项目</t>
  </si>
  <si>
    <t>领先未来科技集团有限公司</t>
  </si>
  <si>
    <t>海南核电有限公司</t>
  </si>
  <si>
    <t>垫资；合同签约链条过长；非白名单客户无预付款且背靠背收款</t>
  </si>
  <si>
    <t xml:space="preserve">已验收，承诺3月回款100%，未达成。
下游采购合同已签，暂未付款。
</t>
  </si>
  <si>
    <t>1XY259429A</t>
  </si>
  <si>
    <t xml:space="preserve"> 验收款100% </t>
  </si>
  <si>
    <t>26年1月已到货验收完成，项目已关闭。</t>
  </si>
  <si>
    <t>联想平板 50台 验收合格后付款：138,000.00元 一个月账期</t>
  </si>
  <si>
    <t>项目未回款，付款里程碑26年1月31号验收</t>
  </si>
  <si>
    <t>亚信兴源与领先未来框架合同签署完毕后，领先未来会给亚信兴源下订单。按照目前签约节奏，联想预计最晚到货应该在1月18号左右。争取1月内完成验收，2月中核运维提付款流程，3月中下旬付款给领先未来，领先未来争取1周内付款，在26年3月内完成回款。</t>
  </si>
  <si>
    <t>【框架】领先未来科技集团有限公司商品采购框架协议-中核海南核电维修支持处定制终端平板项目</t>
  </si>
  <si>
    <t>1XY259428A</t>
  </si>
  <si>
    <t>框架项目</t>
  </si>
  <si>
    <t>尚未开始跟踪</t>
  </si>
  <si>
    <t>董钟</t>
  </si>
  <si>
    <t>湖北移动2025年集中性能管理系统共享层</t>
  </si>
  <si>
    <t>销售反馈项目预估GM=20%；预计2026年9月30日能完成上线，2026年12月31日能完成验收，预计2026年10月31日回款70%，2027年1月31日回款30%。</t>
  </si>
  <si>
    <t>审批中</t>
  </si>
  <si>
    <t>王维</t>
  </si>
  <si>
    <t>深圳天源迪科信息技术股份有限公司上海移动存量运营平台（一期）-【2025年客户留存项目】技术开发合同</t>
  </si>
  <si>
    <t>非白名单付款背靠背且不满足预付款要求</t>
  </si>
  <si>
    <t>该项目为上海移动 25 年招投标项目，亚信主导立项建设，被低价恶意竞争丢标后本月进行合同审批大签，当前项目处建设交付阶段，暂无明显风险；GM1=20%</t>
  </si>
  <si>
    <t>1NJ261711A</t>
  </si>
  <si>
    <t>初验70%；终验30%</t>
  </si>
  <si>
    <t xml:space="preserve"> 在建 </t>
  </si>
  <si>
    <t xml:space="preserve"> 26年3月份签约，项目基准时间按事业部承诺设定。当前计划时间是12月份初验，项目组反馈加快交付节奏，全力以赴按照承诺的时间验收。</t>
  </si>
  <si>
    <t>项目25年立项，预算明确，天源迪科已经与业主上海移动签约，待亚信与天源迪科签约后推进初验，预计8月初验，9月初验回款，11月终验，12月终验回款</t>
  </si>
  <si>
    <t>2026.4.1</t>
  </si>
  <si>
    <t>魏佳</t>
  </si>
  <si>
    <t xml:space="preserve">
ZC-2025年IT系统维护项目</t>
  </si>
  <si>
    <t>中国联合网络通信有限公司北京网络运营事业部</t>
  </si>
  <si>
    <t>非白名单客户付款背靠背且无预付款；签约链条长—我司处于一级分包商之后角色</t>
  </si>
  <si>
    <t>已审批未大签</t>
  </si>
  <si>
    <t>具体回款将于2026年4月份开始按照进度进行  上线验收50%金额135000元，初验30%金额81000元，终验20%金额54000元，2026年12月要完成结项工作。</t>
  </si>
  <si>
    <t>崔重阳</t>
  </si>
  <si>
    <t>【大模型】山东电力淄博设备（操作票&amp;工作票）大模型</t>
  </si>
  <si>
    <t>我司处于二级分包商
亏损</t>
  </si>
  <si>
    <t>项目亏损39w,预计6月份完成交付。预计12月30号或2027年第一季度终验。</t>
  </si>
  <si>
    <t>合同通过OT前置审批，待大签</t>
  </si>
  <si>
    <t>1）预计9月30号回款30%。
2）终验预计12月或27年一季度。预计终验后回款60%。
3）质保期满10%（质保期：终验后一年）</t>
  </si>
  <si>
    <t>合同大签审批中，待大签后启动项目交付</t>
  </si>
  <si>
    <t>【大模型】国能科环-危废环保大模型 POC</t>
  </si>
  <si>
    <t>项目亏损29w,初验时间保守估计2026年6月30日前，
预计2027年4月30日完成终验。</t>
  </si>
  <si>
    <t>1）预计2026年9月30日回款30%。
2）预计2027年6月30日回终验款60%。
3）预计2028年6月30日回质保款10%。</t>
  </si>
  <si>
    <t>【大模型】国能集团火电业务大模型</t>
  </si>
  <si>
    <t>项目亏损62w,终验7月份，也有可能在12月底终验</t>
  </si>
  <si>
    <t>1）预计6月30号前回款30%。
2）如7月顺利验收，预计9月30号终验款回款60%。如12月验收，则预计跨年回款60%。
3）质保期满回款10%（质保期：终验后1年）</t>
  </si>
  <si>
    <t>项目2025年3-7月完成poc。12月正式入场开发。目前已完成引风机故障预警场景和锅炉启停场景的开发工作，在进行以上场景的内部测试以及问题修复，预估4月下旬在试点电厂试运行；智能寻优场景待时序模型指标预测满足客户需求后，进行场景完善以及试点电厂试运行。</t>
  </si>
  <si>
    <t>【大模型】国家电投河北电力有限公司供热AI智能客服项目</t>
  </si>
  <si>
    <t>项目亏损73w,4月中旬完成交付。预计终验2028年6月份终验</t>
  </si>
  <si>
    <t>1）预计6月30号回款30%。
2）预计2028年6月30号终验款回款60%。
3）预计2028年6月30号回质保款10%</t>
  </si>
  <si>
    <t>阿里已下po，开票后1个月付款，项目2025年11月10日进场投入，2026年3月30日完成所有功能开发（当前剩余小程序安全测评后上线）。整体交付交付完成度90%。</t>
  </si>
  <si>
    <t>合同额</t>
  </si>
  <si>
    <t>GM</t>
  </si>
  <si>
    <t>特批时间</t>
  </si>
  <si>
    <t>项目售后代码（销售预测流水号）</t>
  </si>
  <si>
    <t>通用审批申请号</t>
  </si>
  <si>
    <t>填写人</t>
  </si>
  <si>
    <t>未上会EMT原因</t>
  </si>
  <si>
    <t>北京市2023年中国医学科学院阜外医院“I国际生经费”（云客服）项目二期合同</t>
  </si>
  <si>
    <t>北京新方通信技术有限公司</t>
  </si>
  <si>
    <t>中国医学科学院阜外医院</t>
  </si>
  <si>
    <t>SAF202302213422</t>
  </si>
  <si>
    <t>梅颖</t>
  </si>
  <si>
    <t>此项目客户为域外客户，项目金额为20万元，无预付款，并涉及背靠背付款；我司处于二级分包的位置，总包商为中移在线，属于域内客户，未涉及其他风险点。</t>
  </si>
  <si>
    <t>百度智能云技术服务协议（百度智能教练二期项目）合同</t>
  </si>
  <si>
    <t>北京百度网讯科技有限公司</t>
  </si>
  <si>
    <t>中移在线服务有限公司</t>
  </si>
  <si>
    <t>SAF202302213437</t>
  </si>
  <si>
    <t>此项目客户为域外客户，项目金额为3,964,740.00元，无预付款，并涉及背靠背付款；最终客户为中移在线，属于域内客户，未涉及其他风险点。</t>
  </si>
  <si>
    <t>新乡智慧城市数据平台建设项目-新乡市红旗区5G新型智慧城市建设项目“智慧红旗综合指挥服务中心”（数据中台）项目合同</t>
  </si>
  <si>
    <t>正数网络技术有限公司</t>
  </si>
  <si>
    <t>新乡市红旗区人民政府办公室</t>
  </si>
  <si>
    <t>SAF202204266305</t>
  </si>
  <si>
    <t>本项目签约客户为正数网络技术有限公司，是我司持续合作的老客户 且 销售经理反馈当前合同签约流程紧张，因此通过线上审批流程替代上会EMT</t>
  </si>
  <si>
    <t>车铁强</t>
  </si>
  <si>
    <t>云南智慧园区产品开发技术服务合作合同</t>
  </si>
  <si>
    <t>润建股份有限公司</t>
  </si>
  <si>
    <t>SAF202307149627</t>
  </si>
  <si>
    <t>本项目签约客户为中国移动通信集团云南有限公司，是我司持续合作的域内客户 且 销售经理反馈当前合同签约流程紧张，经过领导评估批准通过线上审批流程替代上会EMT</t>
  </si>
  <si>
    <t>冯芳馨</t>
  </si>
  <si>
    <t>湖南高速收费集中监控系统技术劳务服务合同</t>
  </si>
  <si>
    <t>湖南三森信息系统工程有限公司</t>
  </si>
  <si>
    <t>湖南省高速公路集团有限公司</t>
  </si>
  <si>
    <t>签约链条过长（我司处于二级分包商之后），非白名单客户付款背靠背无预付款</t>
  </si>
  <si>
    <t>SAF202301049344</t>
  </si>
  <si>
    <t>赵婷</t>
  </si>
  <si>
    <t>鉴于项目金额较小且最终用户为我司持续服务的高速客户，风险较小且签约时间紧张，故酌情免予EMT上会流程</t>
  </si>
  <si>
    <t>杨芸</t>
  </si>
  <si>
    <t>北京思特奇关于江西移动2022年业务中台技术开发研发项目电商平台开发(第一期)子项目-技术开发外包服务协议</t>
  </si>
  <si>
    <t>北京思特奇信息技术股份有限公司</t>
  </si>
  <si>
    <t>中国移动通信集团江西有限公司</t>
  </si>
  <si>
    <t>SAF202302112420</t>
  </si>
  <si>
    <t>权俊萍</t>
  </si>
  <si>
    <t>最终用户为江西移动，运营商项目风险可控；属于延续性项目，因思特奇低价中标导致转包至亚信实施，是市场战略的重要目标，项目交付风险问题较小；签约客户信用等级B级，客户资信良好。</t>
  </si>
  <si>
    <t>张驰</t>
  </si>
  <si>
    <t>2022年中国联通软研院公众中台知识中心研发项目</t>
  </si>
  <si>
    <t>中国联合网络通信有限公司软件研究院</t>
  </si>
  <si>
    <t>域外项目付款背靠背且无预付款</t>
  </si>
  <si>
    <t xml:space="preserve"> SAF202312208420</t>
  </si>
  <si>
    <t>米昱娇</t>
  </si>
  <si>
    <t>迭代项目，且最终用户为运营商客户</t>
  </si>
  <si>
    <t>陈锦涛</t>
  </si>
  <si>
    <t>江西移动2023大数据经分项目-日常开发</t>
  </si>
  <si>
    <t>北京神州泰岳软件股份有限公司</t>
  </si>
  <si>
    <t>1BJ237091A</t>
  </si>
  <si>
    <t>刘利平</t>
  </si>
  <si>
    <t>延续性项目，最终用户为江西移动，神州泰岳低价中标转签亚信，风险可控</t>
  </si>
  <si>
    <t>2023-133届线上广交会项目</t>
  </si>
  <si>
    <t>江苏微盛网络科技有限公司</t>
  </si>
  <si>
    <t>中国对外贸易中心集团有限公司</t>
  </si>
  <si>
    <t>1BJ241960A</t>
  </si>
  <si>
    <t>签约客户非白名单客户，无预付款，合同金额较小</t>
  </si>
  <si>
    <t>中移在线河北分公司2024年IT通用技术支撑服务项目</t>
  </si>
  <si>
    <t>东软集团股份有限公司</t>
  </si>
  <si>
    <t>中移在线服务有限公司河北分公司</t>
  </si>
  <si>
    <t>1BJ243406A</t>
  </si>
  <si>
    <t xml:space="preserve">本项目最终用户为中移在线服务有限公司河北分公司，是我司持续合作的域内客户 且 销售经理反馈当前合同签约流程紧张，经过领导评估批准通过线上审批流程替代上会EMT
</t>
  </si>
  <si>
    <t>中移在线（江苏）分公司2024年IT通用技术支撑服务项目</t>
  </si>
  <si>
    <t>中移在线服务有限公司江苏分公司</t>
  </si>
  <si>
    <t>1BJ244564A</t>
  </si>
  <si>
    <t>本项目最终用户为中移在线服务有限公司江苏分公司，是我司持续合作的域内客户 且 销售经理反馈当前合同签约流程紧张，经过领导评估批准通过线上审批流程替代上会EMT</t>
  </si>
  <si>
    <t>叶建文(124109)</t>
  </si>
  <si>
    <t>新媒传信【2023年两级运营平台（集中运营模块）项目技术开发合同】</t>
  </si>
  <si>
    <r>
      <rPr>
        <sz val="9.75"/>
        <color rgb="FF000000"/>
        <rFont val="Calibri"/>
        <charset val="134"/>
      </rPr>
      <t>北京新媒传信科技有限公司</t>
    </r>
  </si>
  <si>
    <t>1BJ234988A</t>
  </si>
  <si>
    <t>邮件审批</t>
  </si>
  <si>
    <t>刘泉</t>
  </si>
  <si>
    <t>迭代项目，最终客户为中移互联网</t>
  </si>
  <si>
    <t>蔡克楠(11829)</t>
  </si>
  <si>
    <t>中国移动山东省信息技术部大数据中心外协框架订单业务数据赋能外行业项目（2023年）-山东天易</t>
  </si>
  <si>
    <t>山东天易信息技术有限公司</t>
  </si>
  <si>
    <t>山东省大数据局</t>
  </si>
  <si>
    <t>1BJ237481A</t>
  </si>
  <si>
    <t>最终客户山东省大数据局，总集成商为山东移动。</t>
  </si>
  <si>
    <t>中国移动山东省政企客户部大数据能力赋能项目（2023年）-山东天易</t>
  </si>
  <si>
    <t>山东省人力资源和社会保障厅</t>
  </si>
  <si>
    <t>1BJ236279A</t>
  </si>
  <si>
    <t>最终客户山东省人力资源和社会保障厅，总集成商为山东移动。</t>
  </si>
  <si>
    <t>宋敬壮（108571）</t>
  </si>
  <si>
    <t>北方健康医疗大数据系统运维项目</t>
  </si>
  <si>
    <t>北方健康医疗大数据科技有限公司</t>
  </si>
  <si>
    <t>中国人民解放军总医院（301医院）</t>
  </si>
  <si>
    <t>SAF202310188403</t>
  </si>
  <si>
    <t>李天雨</t>
  </si>
  <si>
    <t>签约客户非白名单客户，无预付款，收款背靠背，且合同金额较小，故申请不上 EMT 会，走通用审批流程。</t>
  </si>
  <si>
    <t>刘婵(120742)</t>
  </si>
  <si>
    <t>国家石油天然气管网集团有限公司数据治理建设一期项目---数据资产关联和导入项目</t>
  </si>
  <si>
    <t>中软国际科技服务有限公司</t>
  </si>
  <si>
    <t>国家石油天然气管网集团有限公司</t>
  </si>
  <si>
    <t>1BJ243185A</t>
  </si>
  <si>
    <t>于荷方</t>
  </si>
  <si>
    <t>签约客户非白名单客户，无预付款，收款背靠背，且合同金额较小，为延续性项目</t>
  </si>
  <si>
    <t>马学灶(5309)</t>
  </si>
  <si>
    <t>国控物流 IoT管理平台建设 (一期)项目</t>
  </si>
  <si>
    <t>越亮传奇科技股份有限公司</t>
  </si>
  <si>
    <t>国药集团医药物流有限公司</t>
  </si>
  <si>
    <t>SAF202302213418</t>
  </si>
  <si>
    <t>因本合同由中移物联网做整个项目总集管控，整个签约链条各级客户资信均良好，金额较小风险相对可控</t>
  </si>
  <si>
    <t>云南电网2024年95598语音全链路监控分析平台建设项目</t>
  </si>
  <si>
    <t>云南电网有限责任公司信息中心</t>
  </si>
  <si>
    <r>
      <rPr>
        <sz val="9.75"/>
        <color rgb="FF000000"/>
        <rFont val="Calibri"/>
        <charset val="134"/>
      </rPr>
      <t> </t>
    </r>
    <r>
      <rPr>
        <sz val="9.75"/>
        <color rgb="FF232322"/>
        <rFont val="Calibri"/>
        <charset val="134"/>
      </rPr>
      <t>569,680.00</t>
    </r>
  </si>
  <si>
    <t>1BJ242491A</t>
  </si>
  <si>
    <r>
      <rPr>
        <sz val="9.75"/>
        <color rgb="FF000000"/>
        <rFont val="Calibri"/>
        <charset val="134"/>
      </rPr>
      <t>因本合同由中移在线作为总集方进行背书，整个签约链条各级客户资信均良好，金额较小风险相对可控故使用线上审批流程</t>
    </r>
    <r>
      <rPr>
        <sz val="9.75"/>
        <color rgb="FF333333"/>
        <rFont val="Calibri"/>
        <charset val="134"/>
      </rPr>
      <t>.</t>
    </r>
  </si>
  <si>
    <r>
      <rPr>
        <sz val="9.75"/>
        <color rgb="FF000000"/>
        <rFont val="Calibri"/>
        <charset val="134"/>
      </rPr>
      <t>D</t>
    </r>
    <r>
      <rPr>
        <sz val="9.75"/>
        <color rgb="FF000000"/>
        <rFont val="Calibri"/>
        <charset val="134"/>
      </rPr>
      <t>NC</t>
    </r>
  </si>
  <si>
    <t>张攀(12883)</t>
  </si>
  <si>
    <t>大数据中心信息化建设服务项目合同</t>
  </si>
  <si>
    <t>南京君融科技有限公司</t>
  </si>
  <si>
    <t>中移（苏州）软件技术有限公司</t>
  </si>
  <si>
    <t>1BJ247401A</t>
  </si>
  <si>
    <r>
      <rPr>
        <sz val="9.75"/>
        <color rgb="FF000000"/>
        <rFont val="Calibri"/>
        <charset val="134"/>
      </rPr>
      <t>因本合同最终用户为运营商，受总包要求和我司不在江苏移动集成公司供应商库内，故必须使用此链条。签约客户资信差但仅进行付款不扣点，风险相对可控，故未上E</t>
    </r>
    <r>
      <rPr>
        <sz val="9.75"/>
        <color rgb="FF000000"/>
        <rFont val="Calibri"/>
        <charset val="134"/>
      </rPr>
      <t>MT，已通过通用审批取得黄缨总同意签署</t>
    </r>
  </si>
  <si>
    <t>卓莉</t>
  </si>
  <si>
    <t>海南移动高标准农田标杆项目IT开发外包合同</t>
  </si>
  <si>
    <t>北京佳格天地科技有限公司</t>
  </si>
  <si>
    <t>中国移动通信集团海南有限公司</t>
  </si>
  <si>
    <t>1ZH248018A</t>
  </si>
  <si>
    <t>郝炎煜</t>
  </si>
  <si>
    <t>因本合同服务于移动客户，资金已经到位至中移(成都）信息通信公司，目前正在走下单流程，金额较小风险相对可控，采用通用审批</t>
  </si>
  <si>
    <t>李晓宇</t>
  </si>
  <si>
    <t>青海移动反诈能力提升技术服务项目</t>
  </si>
  <si>
    <t>1BJ248582A</t>
  </si>
  <si>
    <t>项目金额较小，又因本合同服务于移动客户，客户承诺后续反诈平台逐步会由亚信承接，东方国信自身资质和交付能力也良好，自身也是青海移动的长期合作伙伴，交付风险相对可控，</t>
  </si>
  <si>
    <t>南京南瑞信通-山东思极4G和5G融合开发服务合同</t>
  </si>
  <si>
    <t>南京南瑞信息通信科技有限公司</t>
  </si>
  <si>
    <t>山东思极科技有限公司</t>
  </si>
  <si>
    <t>1BJ248355A</t>
  </si>
  <si>
    <t>因事业部反馈属于国网客户项目，我司具备良好客户关系，客户首付款资金已经拨付南瑞，合同金额相对较小，建议同意签署。</t>
  </si>
  <si>
    <t>南京直方大智能科技有限公司-【NF202411234-通二-构建运营商接口管理及实施部署实施服务】</t>
  </si>
  <si>
    <t>南京直方大智能科技有限公司</t>
  </si>
  <si>
    <t>1BJ244734A</t>
  </si>
  <si>
    <t>因事业部反馈属于国网客户项目，我司具备良好客户关系，客户首付款资金已经拨付南瑞，本合同与前序合同构成完整整体，不能单独脱离，合同金额相对较小（16万），故建议同意签署。</t>
  </si>
  <si>
    <t>南京君融科技有限公司-大数据中心信息化建设服务项目合同（第二批）</t>
  </si>
  <si>
    <t>1BJ248616A</t>
  </si>
  <si>
    <t>因本合同最终用户为运营商，受总包要求和我司不在江苏移动集成公司供应商库内，故必须使用此链条，签约客户资信差但为总包指定，事业部反馈本项目已经投入，签署合同可获得收款权，故建议同意签署。</t>
  </si>
  <si>
    <t>张驰(122304)</t>
  </si>
  <si>
    <t>百度网讯2023年中国联通软研院公众中台知识中心研发项目</t>
  </si>
  <si>
    <t>中国联合网络通信有限公司</t>
  </si>
  <si>
    <t>SAF202402297643</t>
  </si>
  <si>
    <t>因本合同为延续性项目，前序已签署5期，本次为最后一个尾单，实质为向运营商提供服务，历史交付和回款均正常，风险相对可控。</t>
  </si>
  <si>
    <t>佟宝亮(67413)</t>
  </si>
  <si>
    <t>昆仑数智大数据中心项目软件委托开发任务单</t>
  </si>
  <si>
    <t>浙江实在智能科技有限公司</t>
  </si>
  <si>
    <t>昆仑数智科技有限责任公司</t>
  </si>
  <si>
    <t>1BJ247125A</t>
  </si>
  <si>
    <t>因本合同整个签约链条客户资信均正常，上游已完成签署且资金已落实，金额较小风险相对可控，</t>
  </si>
  <si>
    <t>李德劼(0860)</t>
  </si>
  <si>
    <t>关于2023年联通数字科技有限公司第三方代维服务集中采购框架协</t>
  </si>
  <si>
    <t>网思科技股份有限公司</t>
  </si>
  <si>
    <t>联通华盛通信有限公司</t>
  </si>
  <si>
    <t>1BJ246444A</t>
  </si>
  <si>
    <t>运维框架合同，因本合同最终用户为联通运营商，整个签约链条各级客户资信均良好，延续性框架项目历史回款正常（3级）</t>
  </si>
  <si>
    <t>百度智能云技术服务协议（百度智能教练三期项目）合同</t>
  </si>
  <si>
    <t>1BJ248472A</t>
  </si>
  <si>
    <t>因本合同服务于移动客户，属于延续性项目，历史执行和回款正常，风险相对可控，建议同意签署。</t>
  </si>
  <si>
    <t>陈燕子</t>
  </si>
  <si>
    <t>AI大模型监测应用平台一期建设</t>
  </si>
  <si>
    <t>中移物联网有限公司</t>
  </si>
  <si>
    <t>1NJ248525A</t>
  </si>
  <si>
    <t>因本合同实质为运营商提供服务，上游客户资信良好，风险相对可控，建议同意签署。</t>
  </si>
  <si>
    <t>煤矿智能化园区建设要求”团体标准研制服务项目</t>
  </si>
  <si>
    <t>中国煤炭工业协会生产力促进中心</t>
  </si>
  <si>
    <t>陕西德源府谷能源有限公司</t>
  </si>
  <si>
    <t>纯外采服务，非白名单客户付款背靠背无预付款</t>
  </si>
  <si>
    <t>SAF202412191071</t>
  </si>
  <si>
    <t>因属于重点煤炭行业开拓项目，各层级客户及供应商资信均良好；合同金额相对较小（13.6万），交付为咨询报告且服务周期为2个月；供应商侧可增加背靠背、验收等保证性条款，风险相对可控，故建议同意签署。</t>
  </si>
  <si>
    <t>布春国（60929）</t>
  </si>
  <si>
    <t>2024年中国联通天津天眼平台两核两关安全管理支撑日常迭代开发项目-国信网联</t>
  </si>
  <si>
    <t>北京国信网联科技有限公司</t>
  </si>
  <si>
    <t>中国联合网络通信有限公司天津市分公司</t>
  </si>
  <si>
    <t>SAF202411187645</t>
  </si>
  <si>
    <t>郭龙</t>
  </si>
  <si>
    <t>签约客户非白名单客户，最终用户为运营商客户，无预付款，收款背靠背，且合同金额较小，故申请不上 EMT 会，走通用审批流程。</t>
  </si>
  <si>
    <t>2024年中国联通天津管理传+统物采数智监管平台研发项目（新建）-中全通</t>
  </si>
  <si>
    <t>中全通技术有限公司</t>
  </si>
  <si>
    <t>1BJ245914A</t>
  </si>
  <si>
    <t>李世玉(25192)</t>
  </si>
  <si>
    <t>大别山电厂三期2×1000MW清洁煤电扩建项目EPC总承包项目全厂5G专网建设服务</t>
  </si>
  <si>
    <t>中国电力工程顾问集团中南电力设计院有限公司</t>
  </si>
  <si>
    <t>中国中煤能源集团有限公司</t>
  </si>
  <si>
    <t>非白名单客户付款背靠背且无预付款</t>
  </si>
  <si>
    <r>
      <rPr>
        <u/>
        <sz val="9.75"/>
        <color theme="10"/>
        <rFont val="Calibri"/>
        <charset val="134"/>
      </rPr>
      <t>SAF202501033059</t>
    </r>
  </si>
  <si>
    <t>据事业部反馈：1、上游合同已签署，客户为央企下属，评级A，资金已到位；2、我司与联通均参与投标，我司报价较高，如中标，利润充足可控，且承诺下游签署背靠背合同，不涉及垫资。</t>
  </si>
  <si>
    <t>李中举(21994)</t>
  </si>
  <si>
    <t>天津市2024年医疗保障服务热线中心系统维保服务项目</t>
  </si>
  <si>
    <t>华文科泰（天津）信息技术有限公司</t>
  </si>
  <si>
    <t>天津市医疗保障局</t>
  </si>
  <si>
    <t>SAF202502196193</t>
  </si>
  <si>
    <t>延续项目，历史我司是通过阿里云签署开发服务，本次我司与总集方直接签约，历史项目已全部回款。考虑到本合同为延续性项目，历史回款良好，金额较小，建议同意签署。</t>
  </si>
  <si>
    <t>王宝刚</t>
  </si>
  <si>
    <t>彩讯股份与亚信科技（中国）有限公司2024-2025年全网大数据产品运营支撑服务合同</t>
  </si>
  <si>
    <t>SAF202502135804</t>
  </si>
  <si>
    <t>DNC通过（彩讯科技股份有限公司（A级））—中移动信息技术有限公司提供开发服务，合同金额150万，预计GM=25%，合同本质为运营商服务项目，客户关系可靠，各层级资信良好，故申请免于EMT走通用审批</t>
  </si>
  <si>
    <t>向淑琴</t>
  </si>
  <si>
    <t>重庆移动电视营业厅能力升级项目</t>
  </si>
  <si>
    <t xml:space="preserve">
易视腾科技股份有限公司</t>
  </si>
  <si>
    <t>中国移动通信集团重庆有限公司</t>
  </si>
  <si>
    <t>SAF202412272135</t>
  </si>
  <si>
    <t xml:space="preserve">
20250328456</t>
  </si>
  <si>
    <t>因本合同实质为向运营商提供服务，上游客户资信均良好，风险相对可控，建议同意签署。</t>
  </si>
  <si>
    <t>南京君融-大数据中心IT硬件集成服务项目合同（第三批）</t>
  </si>
  <si>
    <t>签约链条过长（我司处于二级分包商之后），涉及垫资，非白名单客户付款背靠背无预付款</t>
  </si>
  <si>
    <t>扣除双重缴税后GM1=20.15%</t>
  </si>
  <si>
    <t>SAF202502186064</t>
  </si>
  <si>
    <t>DNC通过域外客户签署最终用户为运营商项目，触碰①签约链条长②域外合同背靠背付款无预付管控点③涉及垫资购买耗材
因历史第一、第二期均延用此客情签署（已完成通用审批），且最终用户为运营商，故灵活执行，特批不走EMT方式，申请线上通用审批。</t>
  </si>
  <si>
    <t>李珅</t>
  </si>
  <si>
    <t>上海天玑-中移动信息2024-2025年研发外协服务框架采购项目（亚信）技术开发框架合同</t>
  </si>
  <si>
    <t xml:space="preserve">
上海天玑科技股份有限公司</t>
  </si>
  <si>
    <t xml:space="preserve">
中移动信息技术有限公司</t>
  </si>
  <si>
    <t>框架34,945,020.00</t>
  </si>
  <si>
    <t xml:space="preserve">
SAF202505124420</t>
  </si>
  <si>
    <t xml:space="preserve">
20250512495</t>
  </si>
  <si>
    <t>因本合同实质为向运营商提供服务，上游客户资信良好，风险相对可控，建议同意签署。</t>
  </si>
  <si>
    <t>蒉晓恩</t>
  </si>
  <si>
    <t>上海市青浦区大数据资源平台数据运营项目</t>
  </si>
  <si>
    <t>上海长城电子信息网络有限公司</t>
  </si>
  <si>
    <t>上海市青浦区行政服务中心（上海市青浦区大数据中心）</t>
  </si>
  <si>
    <t>1BJ254952A</t>
  </si>
  <si>
    <t>宫殿翔</t>
  </si>
  <si>
    <t>合同金额涉及较小，且签约客户信用评级为C，回款良好</t>
  </si>
  <si>
    <t>宋伟伟</t>
  </si>
  <si>
    <t>亚信中国与科大讯飞-河北联通全客大模型项目</t>
  </si>
  <si>
    <t>科大讯飞股份有限公司</t>
  </si>
  <si>
    <t>中国联合网络通信有限公司河北省分公司</t>
  </si>
  <si>
    <t>1BJ253363A</t>
  </si>
  <si>
    <t>牟</t>
  </si>
  <si>
    <t>本项目仅涉及非白名单客户付款背靠背无预付款，考虑到本项目最终用户为河北联通，且付款节奏与上游一致，同时经AR管理部核查确认，签约客户科大讯飞历史回款良好，最新的回款健康度为3级，风险相对小。</t>
  </si>
  <si>
    <t>上海硕恩关于信息特征变量测试案例生成与优化服务技术服务项目协议书（联通华盛项目）</t>
  </si>
  <si>
    <t>上海硕恩网络科技股份有限公司</t>
  </si>
  <si>
    <t>我司处于二级分包商之后</t>
  </si>
  <si>
    <t>1BJ253912A</t>
  </si>
  <si>
    <t>因本合同实质为向运营商提供服务，金额较小，风险相对可控，建议同意签署。</t>
  </si>
  <si>
    <t>周俊哲</t>
  </si>
  <si>
    <t>技术服务合同（2024年数字建模展示平台项目标包2主数据管理平台）</t>
  </si>
  <si>
    <t>北京天云融创软件技术有限公司</t>
  </si>
  <si>
    <t>中国国际工程咨询有限公司</t>
  </si>
  <si>
    <t>签约链条超长（亚信在二级分包商之后）、背靠背付款未明确有预付款</t>
  </si>
  <si>
    <t>1BJ256083A</t>
  </si>
  <si>
    <t>张晓梅</t>
  </si>
  <si>
    <t>因通过联通数科作为总集进行合作且我司交付能力满足项目需求</t>
  </si>
  <si>
    <t>2025年四川联通校园渠道赋能系统建设项目</t>
  </si>
  <si>
    <t>中国联合网络通信有限公司四川省分公司</t>
  </si>
  <si>
    <t>1BJ255994A</t>
  </si>
  <si>
    <t>通过域外客户为向运营商提供服务，金额较小且我司自主交付，风险可控，建议同意签署。</t>
  </si>
  <si>
    <t>王晶</t>
  </si>
  <si>
    <t>沧州河北初得数字乡村定制开发项目技术服务采购合同</t>
  </si>
  <si>
    <t>安徽省赛达科技有限责任公司</t>
  </si>
  <si>
    <t>1BJ252939A(主)</t>
  </si>
  <si>
    <t>考虑到本合同实质运营商额外结算费用，签约客户资信正常，风险相对可控，建议同意签署</t>
  </si>
  <si>
    <t>张凯</t>
  </si>
  <si>
    <t>广州丰石（FSHT-2025-001）【技术服务采购框架协议】</t>
  </si>
  <si>
    <t>广州丰石科技有限公司</t>
  </si>
  <si>
    <t>中国移动通信集团山东有限公司</t>
  </si>
  <si>
    <t>1BJ255652A(主)</t>
  </si>
  <si>
    <t>因本合同实质为向运营商提供服务，上游客户资信略差，但历史与我司回款正常，风险相对可控，建议同意签署。（已全额签署了两个订单CON202508070523、CON202508070522）</t>
  </si>
  <si>
    <t>萨思科技【2025 亚信技术外包协议】</t>
  </si>
  <si>
    <t>中移信息技术有限公司</t>
  </si>
  <si>
    <t>销管部建议业务部门须穷尽可能性更换阿里侧签约主体，若无法达成则建议更换我司签约主体为亚信南京(中型企业），减少对方主体降级给我司带来的风险；
目前从销售侧反馈均无法落实，最终会通过最终用户中移动信息对阿里进行施压来保证回款及时性。</t>
  </si>
  <si>
    <t>【大模型】山东移动齐鲁创新院AI视频检测能力提升项目（2025年）</t>
  </si>
  <si>
    <t>中国移动通信集团山东有限公司中移齐鲁创新院分公司</t>
  </si>
  <si>
    <t>DNC通过签约客户【网思科技股份有限公司（C级，回款健康度为3级）】——【中国移动通信集团山东有限公司中移齐鲁创新院分公司（S级运营商）】提供开发服务，延续性项目，共计70万，预计GM=20%，由于我司与山东移动框架预算额度用完，故需要通过与网思的框架结算，因此出现此签约链条，上游均完成签署，触碰域外合同背靠背付款无预付管控点。</t>
  </si>
  <si>
    <t>2025年华盛泛智平台日常迭代需求-1</t>
  </si>
  <si>
    <t>合同签约链条过长（处于二级分包商之后）、非白名单客户付款背靠背且无预付款（合同未披露）</t>
  </si>
  <si>
    <t>1BJ252289A(主)</t>
  </si>
  <si>
    <t>因本合同实质为向运营商提供服务，延续项目，风险相对可控</t>
  </si>
  <si>
    <t>2025年华盛泛智云+合作伙伴门户日常运维</t>
  </si>
  <si>
    <t>SAF202504293209</t>
  </si>
  <si>
    <t xml:space="preserve"> 286,200.00</t>
  </si>
  <si>
    <r>
      <rPr>
        <u/>
        <sz val="9.75"/>
        <color theme="10"/>
        <rFont val="Calibri"/>
        <charset val="134"/>
      </rPr>
      <t>SAF202404114117</t>
    </r>
  </si>
  <si>
    <t>因本合同实质为向运营商提供服务，风险相对可控，且金额较小</t>
  </si>
  <si>
    <t>中国电气装备集团有限公司算力支撑底座平台建设项目</t>
  </si>
  <si>
    <t>中国电气装备集团有限公司</t>
  </si>
  <si>
    <t>纯外采硬件</t>
  </si>
  <si>
    <t>SAF202511212658</t>
  </si>
  <si>
    <t>考虑到上游客户资金来源充足，事业部承诺绝不垫资，供应商交付质量及芯片制裁问题暂无法直接规避，依靠事业部承诺及增加部分条款可以一定程度进行风险控制，</t>
  </si>
  <si>
    <t>EMT反馈拒绝理由</t>
  </si>
  <si>
    <t>EMT申请合同额</t>
  </si>
  <si>
    <t>EMT申请GM1</t>
  </si>
  <si>
    <t>销售预测流水号</t>
  </si>
  <si>
    <t>广东粤海控股集团有限公司数据中台项目</t>
  </si>
  <si>
    <t>广东粤海控股集团有限公司</t>
  </si>
  <si>
    <t>国航区块链技术在行李配送方面的应用项目</t>
  </si>
  <si>
    <t>中国国际航空股份有限公司</t>
  </si>
  <si>
    <t>利川市政府数字产业园区项目</t>
  </si>
  <si>
    <t>利川市政务和大数局管理局</t>
  </si>
  <si>
    <t>沈阳城市大脑平台优化及健康码压力测试项目</t>
  </si>
  <si>
    <t>沈阳市人民政府</t>
  </si>
  <si>
    <t>IDC</t>
  </si>
  <si>
    <t>上海市临岗数字孪生示范区基础平台建设项目</t>
  </si>
  <si>
    <t>博识峰云（湖南）信息技术有限公司</t>
  </si>
  <si>
    <t>上海市临港新片区行政服务中心</t>
  </si>
  <si>
    <t>多层分包、纯技术转包</t>
  </si>
  <si>
    <t>克拉玛依算力租赁项目</t>
  </si>
  <si>
    <t>神威（无锡）信息产业有限公司</t>
  </si>
  <si>
    <t>纯外采</t>
  </si>
  <si>
    <t>怀刚</t>
  </si>
  <si>
    <t>1、项目大，风险高。
事业部自行放弃</t>
  </si>
  <si>
    <t>现代设施渔业科技产业园(优质银鲑产业链示范基地)数字化项目一期合同</t>
  </si>
  <si>
    <t>康源领鲜科技有限公司</t>
  </si>
  <si>
    <t>李贞冰</t>
  </si>
  <si>
    <t>1、项目大、但资金来源有风险；2、与我司业务关联性不足，亚信份额占比极低；3、我司作为总集，项目实施责任风险大。</t>
  </si>
  <si>
    <t>光子算力服务租赁项目光子算数（北京）科技有限责任公司</t>
  </si>
  <si>
    <t>光子算力（北京）科技有限公司</t>
  </si>
  <si>
    <t>纯外购、垫资</t>
  </si>
  <si>
    <t xml:space="preserve"> SAF202407085716</t>
  </si>
  <si>
    <t>因客户侧长期无法提供项目资金的稳定来源、签约链条等详细情况，事业部综合评估后，认为项目风险较大，本周决定终止跟进，商机已关闭。</t>
  </si>
  <si>
    <t>香港智易通科技有限公司购买算力服务4000P</t>
  </si>
  <si>
    <t>香港智易通科技有限公司</t>
  </si>
  <si>
    <t>运营</t>
  </si>
  <si>
    <t xml:space="preserve">BSC </t>
  </si>
  <si>
    <t>贵州省榕江县+息烽县南山驿站房车营地项目</t>
  </si>
  <si>
    <t>贵州风云气象数字科技有限公司</t>
  </si>
  <si>
    <t>榕江县政府</t>
  </si>
  <si>
    <t>融资租赁项目</t>
  </si>
  <si>
    <t>兰州亚成生物科技股份有限公司软件项目采购合同</t>
  </si>
  <si>
    <t>兰州亚成生物科技股份有限公司</t>
  </si>
  <si>
    <t>黑名单</t>
  </si>
  <si>
    <t>侯盛凯</t>
  </si>
  <si>
    <t>资金来源政府补贴</t>
  </si>
  <si>
    <t>武东高科投文化中心信息化项目</t>
  </si>
  <si>
    <t>武汉恩倍思科技有限公司</t>
  </si>
  <si>
    <t>武汉建工集团股份有限公司</t>
  </si>
  <si>
    <t>克拉玛依建设+运营算力项目</t>
  </si>
  <si>
    <t>袁辉</t>
  </si>
  <si>
    <t>陕西算力平台租赁项目</t>
  </si>
  <si>
    <t>陕西某公司</t>
  </si>
  <si>
    <t>王立</t>
  </si>
  <si>
    <t>需亚信提供资信进行背书，资金来源为银行贷款</t>
  </si>
  <si>
    <t xml:space="preserve">中煤鄂尔多斯能源化工有限公司图克分公司一、二级重大危险源智能无人巡检系统建设项目 </t>
  </si>
  <si>
    <t xml:space="preserve">中煤鄂尔多斯能源化工有限公司 </t>
  </si>
  <si>
    <t>大比例转包</t>
  </si>
  <si>
    <t>吴峰延</t>
  </si>
  <si>
    <t>毛利率低</t>
  </si>
  <si>
    <t>山西潞安矿业（集团）有限责任公司物资采供分公司本安型摄像仪采购项目</t>
  </si>
  <si>
    <t>山西潞安矿业（集团）有限责任公司物资采供分公司</t>
  </si>
  <si>
    <t>山西潞安矿业（集团）有限责任公司</t>
  </si>
  <si>
    <t>范明明</t>
  </si>
  <si>
    <t>项目大，垫资风险高</t>
  </si>
  <si>
    <t>白龙核电智慧工地安防监控运维服务合同</t>
  </si>
  <si>
    <t>广西谦程信息科技有限公司</t>
  </si>
  <si>
    <t>中电投广西核电有限公司</t>
  </si>
  <si>
    <t>签约链条长</t>
  </si>
  <si>
    <t>曲晓亮</t>
  </si>
  <si>
    <t>本项目签约客户资信差可能影响回款，我司所处签约链条位置靠后，项目周期交付长</t>
  </si>
  <si>
    <t>列车在站运行状态监测识别系统购置(信息类信创设备购置)项目</t>
  </si>
  <si>
    <t>天津光电高斯通信工程技术股份有限公司</t>
  </si>
  <si>
    <t>中国国家铁路集团有限公司</t>
  </si>
  <si>
    <t>纯外采、垫资</t>
  </si>
  <si>
    <t>签约方交付能力无法评估，纯外采垫资项目风险高</t>
  </si>
  <si>
    <t>采购合同号</t>
  </si>
  <si>
    <t>是否为特殊类采购合同</t>
  </si>
  <si>
    <t>审核状态</t>
  </si>
  <si>
    <t>项目编号</t>
  </si>
  <si>
    <t>立项BU</t>
  </si>
  <si>
    <t>签约时间</t>
  </si>
  <si>
    <t>签约公司</t>
  </si>
  <si>
    <t>签约BU</t>
  </si>
  <si>
    <t>采购经理</t>
  </si>
  <si>
    <t>产品</t>
  </si>
  <si>
    <t>子产品</t>
  </si>
  <si>
    <t>币种</t>
  </si>
  <si>
    <t>采购合同金额</t>
  </si>
  <si>
    <t>已付款比例</t>
  </si>
  <si>
    <t>交货状态</t>
  </si>
  <si>
    <t>是否全部入库</t>
  </si>
  <si>
    <t>是否全部出库</t>
  </si>
  <si>
    <t>是否关连方</t>
  </si>
  <si>
    <t>AI-ZB-亚信科技ACC-20230901647</t>
  </si>
  <si>
    <t>否</t>
  </si>
  <si>
    <t>审核通过</t>
  </si>
  <si>
    <t>联想新视界（北京）上海轨道交通智惠康信多功能终端人民广场站示范项目三期产品集成合同</t>
  </si>
  <si>
    <t>亚信科技ACC</t>
  </si>
  <si>
    <t>杭州亚信云信息科技有限公司</t>
  </si>
  <si>
    <t>陈敏</t>
  </si>
  <si>
    <t>知鱼智联</t>
  </si>
  <si>
    <t>人民币</t>
  </si>
  <si>
    <t>已签署</t>
  </si>
  <si>
    <t>已交货</t>
  </si>
  <si>
    <t>是</t>
  </si>
  <si>
    <t>AI-ZB-亚信科技ACC-20230901646</t>
  </si>
  <si>
    <t>天津创界点</t>
  </si>
  <si>
    <t>AI-ZB-亚信科技ACC-20230901645</t>
  </si>
  <si>
    <t>AI-CN-亚信科技ACC-20230601544</t>
  </si>
  <si>
    <t>四川中电启明星信息技术有限公司云灾备项目采购合同</t>
  </si>
  <si>
    <t>亚信科技（中国）有限公司</t>
  </si>
  <si>
    <t>浪潮</t>
  </si>
  <si>
    <t>AI-CN-亚信科技ACC-20230601541</t>
  </si>
  <si>
    <t>AI-ZB-亚信科技ACC-20231201817</t>
  </si>
  <si>
    <t>联想新视界（北京）科技有限公司上海轨道交通智慧康信多功能终端人民广场站示范项目三期增补协议</t>
  </si>
  <si>
    <t>AI-ZB-亚信科技ACC-20231201816</t>
  </si>
  <si>
    <t>AI-ZB-亚信科技ACC-20231201815</t>
  </si>
  <si>
    <t>AI-CN-亚信科技ACC-20231101798</t>
  </si>
  <si>
    <t>内蒙古北联电能源开发公司高头窑煤矿智能化系统采购买卖合同</t>
  </si>
  <si>
    <t>摄像头</t>
  </si>
  <si>
    <t>AI-CN-亚信科技ACC-20231101774</t>
  </si>
  <si>
    <t>硬件安装</t>
  </si>
  <si>
    <t>AI-CN-亚信科技ACC-20231101773</t>
  </si>
  <si>
    <t>西安伟洲</t>
  </si>
  <si>
    <t>AI-CN-亚信科技ACC-20231101772</t>
  </si>
  <si>
    <t>维谛空调</t>
  </si>
  <si>
    <t>AI-CN-亚信科技ACC-20231101771</t>
  </si>
  <si>
    <t>航天智控</t>
  </si>
  <si>
    <t>AI-CN-亚信科技ACC-20231101770</t>
  </si>
  <si>
    <t>深信服</t>
  </si>
  <si>
    <t>AI-CN-亚信科技ACC-20231101769</t>
  </si>
  <si>
    <t>中安智讯</t>
  </si>
  <si>
    <t>AI-CN-亚信科技ACC-20231101768</t>
  </si>
  <si>
    <t>徐州江煤</t>
  </si>
  <si>
    <t>¥1,260,000.00</t>
  </si>
  <si>
    <t>AI-CN-亚信科技ACC-20231101766</t>
  </si>
  <si>
    <t>随锐科技</t>
  </si>
  <si>
    <t>AI-CN-亚信科技ACC-20231101765</t>
  </si>
  <si>
    <t>山东矩阵</t>
  </si>
  <si>
    <t>AI-CN-亚信科技ACC-20231101764</t>
  </si>
  <si>
    <t>天津华宁,南京国辰</t>
  </si>
  <si>
    <t>¥1,061,887.20</t>
  </si>
  <si>
    <t>AI-CN-亚信科技ACC-20231101763</t>
  </si>
  <si>
    <t>中信重工</t>
  </si>
  <si>
    <t>¥1,349,000.00</t>
  </si>
  <si>
    <t>¥7,023,767.20</t>
  </si>
  <si>
    <t>AI-ZB-亚信科技ACC-20240401999</t>
  </si>
  <si>
    <t>AI-ZB-亚信科技ACC-20240401998</t>
  </si>
  <si>
    <t>AI-ZB-亚信科技ACC-20240401997</t>
  </si>
  <si>
    <t>AI-ZB-亚信科技ACC-20240602069</t>
  </si>
  <si>
    <t>上海轨道交通智惠康信多功能终端人民广场站示范项目四期产品及集成合同</t>
  </si>
  <si>
    <t>¥3,773,400.00</t>
  </si>
  <si>
    <t>AI-ZB-亚信科技ACC-20240602068</t>
  </si>
  <si>
    <t>¥1,460,653.99</t>
  </si>
  <si>
    <t>AI-ZB-亚信科技ACC-20240602067</t>
  </si>
  <si>
    <t>¥5,234,053.99</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</si>
</sst>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0_ "/>
    <numFmt numFmtId="178" formatCode="#,##0_ "/>
    <numFmt numFmtId="179" formatCode="_ * #,##0_ ;_ * \-#,##0_ ;_ * &quot;-&quot;??_ ;_ @_ "/>
    <numFmt numFmtId="180" formatCode="yyyy/m/d;@"/>
    <numFmt numFmtId="181" formatCode="0.00_);[Red]\(0.00\)"/>
    <numFmt numFmtId="182" formatCode="yyyy/mm/dd"/>
  </numFmts>
  <fonts count="67">
    <font>
      <sz val="10"/>
      <color theme="1"/>
      <name val="等线"/>
      <charset val="134"/>
      <scheme val="minor"/>
    </font>
    <font>
      <sz val="9"/>
      <color rgb="FF000000"/>
      <name val="等线"/>
      <charset val="134"/>
      <scheme val="minor"/>
    </font>
    <font>
      <u/>
      <sz val="11"/>
      <color rgb="FF0563C1"/>
      <name val="等线"/>
      <charset val="134"/>
      <scheme val="minor"/>
    </font>
    <font>
      <sz val="11"/>
      <color rgb="FF000000"/>
      <name val="等线"/>
      <charset val="134"/>
      <scheme val="minor"/>
    </font>
    <font>
      <u/>
      <sz val="11"/>
      <color rgb="FF0000FF"/>
      <name val="等线"/>
      <charset val="134"/>
      <scheme val="minor"/>
    </font>
    <font>
      <b/>
      <sz val="9"/>
      <color rgb="FF000000"/>
      <name val="等线"/>
      <charset val="134"/>
      <scheme val="minor"/>
    </font>
    <font>
      <sz val="8"/>
      <color rgb="FF000000"/>
      <name val="等线"/>
      <charset val="134"/>
      <scheme val="minor"/>
    </font>
    <font>
      <sz val="10"/>
      <color rgb="FF000000"/>
      <name val="等线"/>
      <charset val="134"/>
      <scheme val="minor"/>
    </font>
    <font>
      <sz val="9"/>
      <color theme="1"/>
      <name val="等线"/>
      <charset val="134"/>
    </font>
    <font>
      <b/>
      <sz val="11"/>
      <color rgb="FF000000"/>
      <name val="等线"/>
      <charset val="134"/>
      <scheme val="minor"/>
    </font>
    <font>
      <b/>
      <sz val="10"/>
      <color rgb="FF000000"/>
      <name val="等线"/>
      <charset val="134"/>
      <scheme val="minor"/>
    </font>
    <font>
      <sz val="10"/>
      <color rgb="FFFF0000"/>
      <name val="等线"/>
      <charset val="134"/>
      <scheme val="minor"/>
    </font>
    <font>
      <sz val="9"/>
      <color rgb="FFFF0000"/>
      <name val="等线"/>
      <charset val="134"/>
      <scheme val="minor"/>
    </font>
    <font>
      <sz val="10"/>
      <color rgb="FFFF0000"/>
      <name val="宋体"/>
      <charset val="134"/>
    </font>
    <font>
      <sz val="10"/>
      <color rgb="FFF54A45"/>
      <name val="等线"/>
      <charset val="134"/>
      <scheme val="minor"/>
    </font>
    <font>
      <sz val="9"/>
      <color rgb="FFC00000"/>
      <name val="等线"/>
      <charset val="134"/>
      <scheme val="minor"/>
    </font>
    <font>
      <sz val="10"/>
      <color rgb="FFC00000"/>
      <name val="等线"/>
      <charset val="134"/>
      <scheme val="minor"/>
    </font>
    <font>
      <sz val="9"/>
      <color theme="1"/>
      <name val="Calibri"/>
      <charset val="134"/>
    </font>
    <font>
      <sz val="9"/>
      <color rgb="FF000000"/>
      <name val="等线"/>
      <charset val="134"/>
    </font>
    <font>
      <sz val="9"/>
      <color rgb="FFFF0000"/>
      <name val="等线"/>
      <charset val="134"/>
    </font>
    <font>
      <sz val="9"/>
      <color rgb="FF333333"/>
      <name val="Segoe UI"/>
      <charset val="134"/>
    </font>
    <font>
      <sz val="10"/>
      <color rgb="FF000000"/>
      <name val="等线"/>
      <charset val="134"/>
    </font>
    <font>
      <sz val="10"/>
      <color rgb="FFFF0000"/>
      <name val="等线"/>
      <charset val="134"/>
    </font>
    <font>
      <sz val="9"/>
      <color rgb="FF1F2329"/>
      <name val="等线"/>
      <charset val="134"/>
    </font>
    <font>
      <sz val="10"/>
      <name val="等线"/>
      <charset val="134"/>
    </font>
    <font>
      <sz val="9"/>
      <color rgb="FF333333"/>
      <name val="等线"/>
      <charset val="134"/>
    </font>
    <font>
      <sz val="9"/>
      <color rgb="FFF54A45"/>
      <name val="等线"/>
      <charset val="134"/>
    </font>
    <font>
      <b/>
      <sz val="10"/>
      <color rgb="FF1F497D"/>
      <name val="等线"/>
      <charset val="134"/>
      <scheme val="minor"/>
    </font>
    <font>
      <sz val="10"/>
      <color rgb="FF1F497D"/>
      <name val="等线"/>
      <charset val="134"/>
      <scheme val="minor"/>
    </font>
    <font>
      <sz val="12"/>
      <color rgb="FF000000"/>
      <name val="等线"/>
      <charset val="134"/>
      <scheme val="minor"/>
    </font>
    <font>
      <b/>
      <sz val="12"/>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75"/>
      <color rgb="FF000000"/>
      <name val="Calibri"/>
      <charset val="134"/>
    </font>
    <font>
      <b/>
      <sz val="9.75"/>
      <color rgb="FF1F497D"/>
      <name val="Calibri"/>
      <charset val="134"/>
    </font>
    <font>
      <b/>
      <sz val="12"/>
      <color rgb="FF000000"/>
      <name val="Calibri"/>
      <charset val="134"/>
    </font>
    <font>
      <sz val="12"/>
      <color rgb="FF000000"/>
      <name val="Calibri"/>
      <charset val="134"/>
    </font>
    <font>
      <sz val="9.75"/>
      <color rgb="FF232322"/>
      <name val="Calibri"/>
      <charset val="134"/>
    </font>
    <font>
      <u/>
      <sz val="9.75"/>
      <color theme="10"/>
      <name val="Calibri"/>
      <charset val="134"/>
    </font>
    <font>
      <sz val="9.75"/>
      <color rgb="FF333333"/>
      <name val="Calibri"/>
      <charset val="134"/>
    </font>
    <font>
      <sz val="9.75"/>
      <color rgb="FFC00000"/>
      <name val="Calibri"/>
      <charset val="134"/>
    </font>
    <font>
      <sz val="9.75"/>
      <color rgb="FFFF0000"/>
      <name val="Calibri"/>
      <charset val="134"/>
    </font>
    <font>
      <sz val="10"/>
      <color rgb="FFFF0000"/>
      <name val="Calibri"/>
      <charset val="134"/>
    </font>
    <font>
      <sz val="10"/>
      <color rgb="FF000000"/>
      <name val="宋体"/>
      <charset val="134"/>
    </font>
    <font>
      <sz val="10"/>
      <color rgb="FF000000"/>
      <name val="Calibri"/>
      <charset val="134"/>
    </font>
    <font>
      <sz val="10"/>
      <name val="宋体"/>
      <charset val="134"/>
    </font>
    <font>
      <sz val="10"/>
      <name val="Calibri"/>
      <charset val="134"/>
    </font>
    <font>
      <sz val="9.75"/>
      <color rgb="FF1F497D"/>
      <name val="Calibri"/>
      <charset val="134"/>
    </font>
    <font>
      <sz val="10.5"/>
      <color rgb="FF000000"/>
      <name val="Calibri"/>
      <charset val="134"/>
    </font>
  </fonts>
  <fills count="55">
    <fill>
      <patternFill patternType="none"/>
    </fill>
    <fill>
      <patternFill patternType="gray125"/>
    </fill>
    <fill>
      <patternFill patternType="solid">
        <fgColor rgb="FFE7EBEF"/>
        <bgColor indexed="64"/>
      </patternFill>
    </fill>
    <fill>
      <patternFill patternType="solid">
        <fgColor rgb="FFF7F4FD"/>
        <bgColor indexed="64"/>
      </patternFill>
    </fill>
    <fill>
      <patternFill patternType="solid">
        <fgColor rgb="FFECEDEF"/>
        <bgColor indexed="64"/>
      </patternFill>
    </fill>
    <fill>
      <patternFill patternType="solid">
        <fgColor rgb="FFADDFFE"/>
        <bgColor indexed="64"/>
      </patternFill>
    </fill>
    <fill>
      <patternFill patternType="solid">
        <fgColor rgb="FFE2ECF7"/>
        <bgColor indexed="64"/>
      </patternFill>
    </fill>
    <fill>
      <patternFill patternType="solid">
        <fgColor rgb="FFBDD6EE"/>
        <bgColor indexed="64"/>
      </patternFill>
    </fill>
    <fill>
      <patternFill patternType="solid">
        <fgColor rgb="FFFFC000"/>
        <bgColor indexed="64"/>
      </patternFill>
    </fill>
    <fill>
      <patternFill patternType="solid">
        <fgColor rgb="FF9CC2E5"/>
        <bgColor indexed="64"/>
      </patternFill>
    </fill>
    <fill>
      <patternFill patternType="solid">
        <fgColor rgb="FFFFFF00"/>
        <bgColor indexed="64"/>
      </patternFill>
    </fill>
    <fill>
      <patternFill patternType="solid">
        <fgColor rgb="FFDEEAF6"/>
        <bgColor indexed="64"/>
      </patternFill>
    </fill>
    <fill>
      <patternFill patternType="solid">
        <fgColor rgb="FFFFF2CB"/>
        <bgColor indexed="64"/>
      </patternFill>
    </fill>
    <fill>
      <patternFill patternType="solid">
        <fgColor rgb="FFFBE4D5"/>
        <bgColor indexed="64"/>
      </patternFill>
    </fill>
    <fill>
      <patternFill patternType="solid">
        <fgColor rgb="FFF7CBAC"/>
        <bgColor indexed="64"/>
      </patternFill>
    </fill>
    <fill>
      <patternFill patternType="solid">
        <fgColor rgb="FFF7CAAC"/>
        <bgColor indexed="64"/>
      </patternFill>
    </fill>
    <fill>
      <patternFill patternType="solid">
        <fgColor rgb="FFA9CD90"/>
        <bgColor indexed="64"/>
      </patternFill>
    </fill>
    <fill>
      <patternFill patternType="solid">
        <fgColor rgb="FFE2EEDA"/>
        <bgColor indexed="64"/>
      </patternFill>
    </fill>
    <fill>
      <patternFill patternType="solid">
        <fgColor rgb="FFD8D8D8"/>
        <bgColor indexed="64"/>
      </patternFill>
    </fill>
    <fill>
      <patternFill patternType="solid">
        <fgColor rgb="FFFFF2CC"/>
        <bgColor indexed="64"/>
      </patternFill>
    </fill>
    <fill>
      <patternFill patternType="solid">
        <fgColor theme="0"/>
        <bgColor indexed="64"/>
      </patternFill>
    </fill>
    <fill>
      <patternFill patternType="solid">
        <fgColor rgb="FFC6E0B4"/>
        <bgColor indexed="64"/>
      </patternFill>
    </fill>
    <fill>
      <patternFill patternType="solid">
        <fgColor rgb="FFC5DEB5"/>
        <bgColor indexed="64"/>
      </patternFill>
    </fill>
    <fill>
      <patternFill patternType="solid">
        <fgColor rgb="FFD9E2F3"/>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4">
    <border>
      <left/>
      <right/>
      <top/>
      <bottom/>
      <diagonal/>
    </border>
    <border>
      <left/>
      <right style="medium">
        <color rgb="FFA5ACB5"/>
      </right>
      <top/>
      <bottom style="medium">
        <color rgb="FFA5ACB5"/>
      </bottom>
      <diagonal/>
    </border>
    <border>
      <left/>
      <right/>
      <top/>
      <bottom style="medium">
        <color rgb="FFA5ACB5"/>
      </bottom>
      <diagonal/>
    </border>
    <border>
      <left/>
      <right style="medium">
        <color rgb="FFD2D2D2"/>
      </right>
      <top/>
      <bottom style="medium">
        <color rgb="FFD2D2D2"/>
      </bottom>
      <diagonal/>
    </border>
    <border>
      <left/>
      <right/>
      <top/>
      <bottom style="medium">
        <color rgb="FFD2D2D2"/>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1F2329"/>
      </left>
      <right style="thin">
        <color rgb="FF1F2329"/>
      </right>
      <top style="thin">
        <color rgb="FF1F2329"/>
      </top>
      <bottom style="thin">
        <color rgb="FF1F2329"/>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rgb="FF1F2329"/>
      </left>
      <right/>
      <top style="thin">
        <color rgb="FF1F2329"/>
      </top>
      <bottom style="thin">
        <color rgb="FF1F2329"/>
      </bottom>
      <diagonal/>
    </border>
    <border>
      <left style="thin">
        <color rgb="FF1F2329"/>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medium">
        <color rgb="FF000000"/>
      </left>
      <right style="medium">
        <color rgb="FF000000"/>
      </right>
      <top/>
      <bottom/>
      <diagonal/>
    </border>
    <border>
      <left/>
      <right style="medium">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diagonal/>
    </border>
    <border>
      <left style="thin">
        <color auto="1"/>
      </left>
      <right style="thin">
        <color auto="1"/>
      </right>
      <top style="thin">
        <color auto="1"/>
      </top>
      <bottom style="thin">
        <color auto="1"/>
      </bottom>
      <diagonal/>
    </border>
    <border>
      <left style="medium">
        <color rgb="FF1F2329"/>
      </left>
      <right style="medium">
        <color rgb="FF1F2329"/>
      </right>
      <top style="medium">
        <color rgb="FF1F2329"/>
      </top>
      <bottom style="medium">
        <color rgb="FF1F2329"/>
      </bottom>
      <diagonal/>
    </border>
    <border>
      <left/>
      <right style="medium">
        <color rgb="FF1F2329"/>
      </right>
      <top style="medium">
        <color rgb="FF1F2329"/>
      </top>
      <bottom style="medium">
        <color rgb="FF1F2329"/>
      </bottom>
      <diagonal/>
    </border>
    <border>
      <left style="medium">
        <color rgb="FF000000"/>
      </left>
      <right style="medium">
        <color rgb="FF000000"/>
      </right>
      <top style="medium">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double">
        <color rgb="FF000000"/>
      </left>
      <right/>
      <top style="double">
        <color rgb="FF000000"/>
      </top>
      <bottom/>
      <diagonal/>
    </border>
    <border>
      <left/>
      <right/>
      <top style="double">
        <color rgb="FF000000"/>
      </top>
      <bottom/>
      <diagonal/>
    </border>
    <border>
      <left style="double">
        <color rgb="FF000000"/>
      </left>
      <right/>
      <top/>
      <bottom/>
      <diagonal/>
    </border>
    <border>
      <left/>
      <right/>
      <top/>
      <bottom style="double">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25" borderId="36"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37" applyNumberFormat="0" applyFill="0" applyAlignment="0" applyProtection="0">
      <alignment vertical="center"/>
    </xf>
    <xf numFmtId="0" fontId="38" fillId="0" borderId="37" applyNumberFormat="0" applyFill="0" applyAlignment="0" applyProtection="0">
      <alignment vertical="center"/>
    </xf>
    <xf numFmtId="0" fontId="39" fillId="0" borderId="38" applyNumberFormat="0" applyFill="0" applyAlignment="0" applyProtection="0">
      <alignment vertical="center"/>
    </xf>
    <xf numFmtId="0" fontId="39" fillId="0" borderId="0" applyNumberFormat="0" applyFill="0" applyBorder="0" applyAlignment="0" applyProtection="0">
      <alignment vertical="center"/>
    </xf>
    <xf numFmtId="0" fontId="40" fillId="26" borderId="39" applyNumberFormat="0" applyAlignment="0" applyProtection="0">
      <alignment vertical="center"/>
    </xf>
    <xf numFmtId="0" fontId="41" fillId="24" borderId="40" applyNumberFormat="0" applyAlignment="0" applyProtection="0">
      <alignment vertical="center"/>
    </xf>
    <xf numFmtId="0" fontId="42" fillId="24" borderId="39" applyNumberFormat="0" applyAlignment="0" applyProtection="0">
      <alignment vertical="center"/>
    </xf>
    <xf numFmtId="0" fontId="43" fillId="27" borderId="41" applyNumberFormat="0" applyAlignment="0" applyProtection="0">
      <alignment vertical="center"/>
    </xf>
    <xf numFmtId="0" fontId="44" fillId="0" borderId="42" applyNumberFormat="0" applyFill="0" applyAlignment="0" applyProtection="0">
      <alignment vertical="center"/>
    </xf>
    <xf numFmtId="0" fontId="45" fillId="0" borderId="43" applyNumberFormat="0" applyFill="0" applyAlignment="0" applyProtection="0">
      <alignment vertical="center"/>
    </xf>
    <xf numFmtId="0" fontId="46" fillId="28" borderId="0" applyNumberFormat="0" applyBorder="0" applyAlignment="0" applyProtection="0">
      <alignment vertical="center"/>
    </xf>
    <xf numFmtId="0" fontId="47" fillId="29" borderId="0" applyNumberFormat="0" applyBorder="0" applyAlignment="0" applyProtection="0">
      <alignment vertical="center"/>
    </xf>
    <xf numFmtId="0" fontId="48" fillId="30" borderId="0" applyNumberFormat="0" applyBorder="0" applyAlignment="0" applyProtection="0">
      <alignment vertical="center"/>
    </xf>
    <xf numFmtId="0" fontId="49"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49" fillId="34" borderId="0" applyNumberFormat="0" applyBorder="0" applyAlignment="0" applyProtection="0">
      <alignment vertical="center"/>
    </xf>
    <xf numFmtId="0" fontId="49"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49" fillId="38" borderId="0" applyNumberFormat="0" applyBorder="0" applyAlignment="0" applyProtection="0">
      <alignment vertical="center"/>
    </xf>
    <xf numFmtId="0" fontId="49" fillId="39" borderId="0" applyNumberFormat="0" applyBorder="0" applyAlignment="0" applyProtection="0">
      <alignment vertical="center"/>
    </xf>
    <xf numFmtId="0" fontId="50" fillId="40" borderId="0" applyNumberFormat="0" applyBorder="0" applyAlignment="0" applyProtection="0">
      <alignment vertical="center"/>
    </xf>
    <xf numFmtId="0" fontId="50" fillId="41" borderId="0" applyNumberFormat="0" applyBorder="0" applyAlignment="0" applyProtection="0">
      <alignment vertical="center"/>
    </xf>
    <xf numFmtId="0" fontId="49" fillId="42" borderId="0" applyNumberFormat="0" applyBorder="0" applyAlignment="0" applyProtection="0">
      <alignment vertical="center"/>
    </xf>
    <xf numFmtId="0" fontId="49" fillId="43" borderId="0" applyNumberFormat="0" applyBorder="0" applyAlignment="0" applyProtection="0">
      <alignment vertical="center"/>
    </xf>
    <xf numFmtId="0" fontId="50" fillId="44" borderId="0" applyNumberFormat="0" applyBorder="0" applyAlignment="0" applyProtection="0">
      <alignment vertical="center"/>
    </xf>
    <xf numFmtId="0" fontId="50" fillId="45" borderId="0" applyNumberFormat="0" applyBorder="0" applyAlignment="0" applyProtection="0">
      <alignment vertical="center"/>
    </xf>
    <xf numFmtId="0" fontId="49" fillId="46" borderId="0" applyNumberFormat="0" applyBorder="0" applyAlignment="0" applyProtection="0">
      <alignment vertical="center"/>
    </xf>
    <xf numFmtId="0" fontId="49" fillId="47" borderId="0" applyNumberFormat="0" applyBorder="0" applyAlignment="0" applyProtection="0">
      <alignment vertical="center"/>
    </xf>
    <xf numFmtId="0" fontId="50" fillId="48" borderId="0" applyNumberFormat="0" applyBorder="0" applyAlignment="0" applyProtection="0">
      <alignment vertical="center"/>
    </xf>
    <xf numFmtId="0" fontId="50" fillId="49" borderId="0" applyNumberFormat="0" applyBorder="0" applyAlignment="0" applyProtection="0">
      <alignment vertical="center"/>
    </xf>
    <xf numFmtId="0" fontId="49" fillId="50" borderId="0" applyNumberFormat="0" applyBorder="0" applyAlignment="0" applyProtection="0">
      <alignment vertical="center"/>
    </xf>
    <xf numFmtId="0" fontId="49" fillId="51" borderId="0" applyNumberFormat="0" applyBorder="0" applyAlignment="0" applyProtection="0">
      <alignment vertical="center"/>
    </xf>
    <xf numFmtId="0" fontId="50" fillId="52" borderId="0" applyNumberFormat="0" applyBorder="0" applyAlignment="0" applyProtection="0">
      <alignment vertical="center"/>
    </xf>
    <xf numFmtId="0" fontId="50" fillId="53" borderId="0" applyNumberFormat="0" applyBorder="0" applyAlignment="0" applyProtection="0">
      <alignment vertical="center"/>
    </xf>
    <xf numFmtId="0" fontId="49" fillId="54" borderId="0" applyNumberFormat="0" applyBorder="0" applyAlignment="0" applyProtection="0">
      <alignment vertical="center"/>
    </xf>
  </cellStyleXfs>
  <cellXfs count="543">
    <xf numFmtId="0" fontId="0" fillId="0" borderId="0" xfId="0" applyAlignment="1">
      <alignment vertical="center"/>
    </xf>
    <xf numFmtId="0" fontId="1" fillId="0" borderId="0" xfId="0" applyFont="1" applyAlignment="1">
      <alignment vertical="center" wrapText="1"/>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0" borderId="3" xfId="0" applyFont="1" applyBorder="1" applyAlignment="1">
      <alignment horizontal="center" vertical="center"/>
    </xf>
    <xf numFmtId="0" fontId="1" fillId="0" borderId="3" xfId="0" applyFont="1" applyBorder="1" applyAlignment="1">
      <alignment horizontal="center" vertical="center"/>
    </xf>
    <xf numFmtId="0" fontId="1" fillId="0" borderId="3" xfId="0" applyFont="1" applyBorder="1" applyAlignment="1">
      <alignment vertical="center"/>
    </xf>
    <xf numFmtId="14" fontId="1" fillId="0" borderId="3" xfId="0" applyNumberFormat="1" applyFont="1" applyBorder="1" applyAlignment="1">
      <alignment horizontal="right" vertical="center"/>
    </xf>
    <xf numFmtId="4" fontId="1" fillId="0" borderId="3" xfId="0" applyNumberFormat="1" applyFont="1" applyBorder="1" applyAlignment="1">
      <alignment horizontal="right" vertical="center"/>
    </xf>
    <xf numFmtId="10" fontId="1" fillId="0" borderId="3" xfId="0" applyNumberFormat="1" applyFont="1" applyBorder="1" applyAlignment="1">
      <alignment horizontal="right" vertical="center"/>
    </xf>
    <xf numFmtId="0" fontId="1" fillId="0" borderId="4" xfId="0" applyFont="1" applyBorder="1" applyAlignment="1">
      <alignment vertical="center"/>
    </xf>
    <xf numFmtId="0" fontId="2" fillId="3" borderId="3"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xf>
    <xf numFmtId="14" fontId="1" fillId="3" borderId="3" xfId="0" applyNumberFormat="1" applyFont="1" applyFill="1" applyBorder="1" applyAlignment="1">
      <alignment horizontal="right" vertical="center"/>
    </xf>
    <xf numFmtId="4" fontId="1" fillId="3" borderId="3" xfId="0" applyNumberFormat="1" applyFont="1" applyFill="1" applyBorder="1" applyAlignment="1">
      <alignment horizontal="right" vertical="center"/>
    </xf>
    <xf numFmtId="9" fontId="1" fillId="3" borderId="3" xfId="0" applyNumberFormat="1" applyFont="1" applyFill="1" applyBorder="1" applyAlignment="1">
      <alignment horizontal="right" vertical="center"/>
    </xf>
    <xf numFmtId="0" fontId="1" fillId="3" borderId="4" xfId="0" applyFont="1" applyFill="1" applyBorder="1" applyAlignment="1">
      <alignment vertical="center"/>
    </xf>
    <xf numFmtId="0" fontId="2" fillId="4" borderId="3"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3" xfId="0" applyFont="1" applyFill="1" applyBorder="1" applyAlignment="1">
      <alignment vertical="center"/>
    </xf>
    <xf numFmtId="14" fontId="1" fillId="4" borderId="3" xfId="0" applyNumberFormat="1" applyFont="1" applyFill="1" applyBorder="1" applyAlignment="1">
      <alignment horizontal="right" vertical="center"/>
    </xf>
    <xf numFmtId="4" fontId="1" fillId="4" borderId="3" xfId="0" applyNumberFormat="1" applyFont="1" applyFill="1" applyBorder="1" applyAlignment="1">
      <alignment horizontal="right" vertical="center"/>
    </xf>
    <xf numFmtId="9" fontId="1" fillId="4" borderId="3" xfId="0" applyNumberFormat="1" applyFont="1" applyFill="1" applyBorder="1" applyAlignment="1">
      <alignment horizontal="right" vertical="center"/>
    </xf>
    <xf numFmtId="0" fontId="1" fillId="5" borderId="4" xfId="0" applyFont="1" applyFill="1" applyBorder="1" applyAlignment="1">
      <alignment vertical="center"/>
    </xf>
    <xf numFmtId="0" fontId="3" fillId="0" borderId="0" xfId="0" applyFont="1" applyAlignment="1">
      <alignment vertical="center"/>
    </xf>
    <xf numFmtId="4" fontId="3" fillId="0" borderId="0" xfId="0" applyNumberFormat="1" applyFont="1" applyAlignment="1">
      <alignment vertical="center"/>
    </xf>
    <xf numFmtId="9" fontId="1" fillId="0" borderId="3" xfId="0" applyNumberFormat="1" applyFont="1" applyBorder="1" applyAlignment="1">
      <alignment horizontal="right" vertical="center"/>
    </xf>
    <xf numFmtId="176" fontId="1" fillId="0" borderId="3" xfId="0" applyNumberFormat="1" applyFont="1" applyBorder="1" applyAlignment="1">
      <alignment horizontal="right" vertical="center"/>
    </xf>
    <xf numFmtId="176" fontId="3" fillId="0" borderId="0" xfId="0" applyNumberFormat="1" applyFont="1" applyAlignment="1">
      <alignment vertical="center"/>
    </xf>
    <xf numFmtId="0" fontId="4" fillId="0" borderId="3" xfId="0" applyFont="1" applyBorder="1" applyAlignment="1">
      <alignment horizontal="center" vertical="center"/>
    </xf>
    <xf numFmtId="0" fontId="4" fillId="3" borderId="3" xfId="0" applyFont="1" applyFill="1" applyBorder="1" applyAlignment="1">
      <alignment horizontal="center" vertical="center"/>
    </xf>
    <xf numFmtId="0" fontId="4" fillId="4" borderId="3" xfId="0" applyFont="1" applyFill="1" applyBorder="1" applyAlignment="1">
      <alignment horizontal="center" vertical="center"/>
    </xf>
    <xf numFmtId="0" fontId="4" fillId="6" borderId="3" xfId="0" applyFont="1" applyFill="1" applyBorder="1" applyAlignment="1">
      <alignment horizontal="center" vertical="center"/>
    </xf>
    <xf numFmtId="0" fontId="1" fillId="6" borderId="3" xfId="0" applyFont="1" applyFill="1" applyBorder="1" applyAlignment="1">
      <alignment horizontal="center" vertical="center"/>
    </xf>
    <xf numFmtId="0" fontId="1" fillId="6" borderId="3" xfId="0" applyFont="1" applyFill="1" applyBorder="1" applyAlignment="1">
      <alignment vertical="center"/>
    </xf>
    <xf numFmtId="14" fontId="1" fillId="6" borderId="3" xfId="0" applyNumberFormat="1" applyFont="1" applyFill="1" applyBorder="1" applyAlignment="1">
      <alignment horizontal="right" vertical="center"/>
    </xf>
    <xf numFmtId="4" fontId="1" fillId="6" borderId="3" xfId="0" applyNumberFormat="1" applyFont="1" applyFill="1" applyBorder="1" applyAlignment="1">
      <alignment horizontal="right" vertical="center"/>
    </xf>
    <xf numFmtId="10" fontId="1" fillId="6" borderId="3" xfId="0" applyNumberFormat="1" applyFont="1" applyFill="1" applyBorder="1" applyAlignment="1">
      <alignment horizontal="right" vertical="center"/>
    </xf>
    <xf numFmtId="0" fontId="1" fillId="4" borderId="3" xfId="0" applyFont="1" applyFill="1" applyBorder="1" applyAlignment="1">
      <alignment horizontal="right" vertical="center"/>
    </xf>
    <xf numFmtId="0" fontId="5" fillId="7" borderId="5" xfId="0" applyFont="1" applyFill="1" applyBorder="1" applyAlignment="1">
      <alignment horizontal="center" vertical="center" wrapText="1"/>
    </xf>
    <xf numFmtId="0" fontId="3" fillId="0" borderId="0" xfId="0" applyFont="1" applyAlignment="1"/>
    <xf numFmtId="14" fontId="5" fillId="7" borderId="5" xfId="0" applyNumberFormat="1" applyFont="1" applyFill="1" applyBorder="1" applyAlignment="1">
      <alignment horizontal="center" vertical="center" wrapText="1"/>
    </xf>
    <xf numFmtId="0" fontId="6" fillId="0" borderId="5" xfId="0" applyFont="1" applyBorder="1" applyAlignment="1">
      <alignment horizontal="center" vertical="center" wrapText="1"/>
    </xf>
    <xf numFmtId="177" fontId="6" fillId="0" borderId="5" xfId="0" applyNumberFormat="1" applyFont="1" applyBorder="1" applyAlignment="1">
      <alignment horizontal="center" vertical="center"/>
    </xf>
    <xf numFmtId="10" fontId="6" fillId="0" borderId="5" xfId="0" applyNumberFormat="1" applyFont="1" applyBorder="1" applyAlignment="1">
      <alignment horizontal="center" vertical="center" wrapText="1"/>
    </xf>
    <xf numFmtId="14" fontId="6" fillId="0" borderId="5" xfId="0" applyNumberFormat="1" applyFont="1" applyBorder="1" applyAlignment="1">
      <alignment horizontal="center" vertical="center" wrapText="1"/>
    </xf>
    <xf numFmtId="0" fontId="6" fillId="0" borderId="5" xfId="0" applyFont="1" applyBorder="1" applyAlignment="1">
      <alignment vertical="center" wrapText="1"/>
    </xf>
    <xf numFmtId="0" fontId="6" fillId="0" borderId="0" xfId="0" applyFont="1" applyAlignment="1">
      <alignment vertical="center"/>
    </xf>
    <xf numFmtId="177" fontId="6" fillId="0" borderId="5" xfId="0" applyNumberFormat="1" applyFont="1" applyBorder="1" applyAlignment="1">
      <alignment horizontal="center" vertical="center" wrapText="1"/>
    </xf>
    <xf numFmtId="178" fontId="6" fillId="0" borderId="5" xfId="0" applyNumberFormat="1" applyFont="1" applyBorder="1" applyAlignment="1">
      <alignment horizontal="center" vertical="center"/>
    </xf>
    <xf numFmtId="0" fontId="6" fillId="0" borderId="5" xfId="0" applyFont="1" applyBorder="1" applyAlignment="1">
      <alignment vertical="center"/>
    </xf>
    <xf numFmtId="0" fontId="5" fillId="7" borderId="5" xfId="0" applyFont="1" applyFill="1" applyBorder="1" applyAlignment="1">
      <alignment horizontal="left" vertical="center" wrapText="1"/>
    </xf>
    <xf numFmtId="179" fontId="5" fillId="7" borderId="5" xfId="0" applyNumberFormat="1" applyFont="1" applyFill="1" applyBorder="1" applyAlignment="1">
      <alignment horizontal="left" vertical="center" wrapText="1"/>
    </xf>
    <xf numFmtId="14" fontId="5" fillId="7" borderId="5" xfId="0" applyNumberFormat="1" applyFont="1" applyFill="1" applyBorder="1" applyAlignment="1">
      <alignment horizontal="left" vertical="center" wrapText="1"/>
    </xf>
    <xf numFmtId="14" fontId="5" fillId="8" borderId="5" xfId="0" applyNumberFormat="1" applyFont="1" applyFill="1" applyBorder="1" applyAlignment="1">
      <alignment horizontal="left" vertical="center" wrapText="1"/>
    </xf>
    <xf numFmtId="0" fontId="3" fillId="0" borderId="0" xfId="0" applyFont="1" applyAlignment="1">
      <alignment horizontal="left" vertical="center"/>
    </xf>
    <xf numFmtId="0" fontId="7" fillId="0" borderId="5" xfId="0" applyFont="1" applyBorder="1" applyAlignment="1">
      <alignment horizontal="center" vertical="center"/>
    </xf>
    <xf numFmtId="177" fontId="7" fillId="0" borderId="5" xfId="0" applyNumberFormat="1" applyFont="1" applyBorder="1" applyAlignment="1">
      <alignment horizontal="center" vertical="center"/>
    </xf>
    <xf numFmtId="9" fontId="7" fillId="0" borderId="5" xfId="0" applyNumberFormat="1" applyFont="1" applyBorder="1" applyAlignment="1">
      <alignment horizontal="center" vertical="center"/>
    </xf>
    <xf numFmtId="180" fontId="7" fillId="0" borderId="5" xfId="0" applyNumberFormat="1" applyFont="1" applyBorder="1" applyAlignment="1">
      <alignment horizontal="center" vertical="center"/>
    </xf>
    <xf numFmtId="0" fontId="7" fillId="0" borderId="5" xfId="0" applyFont="1" applyBorder="1" applyAlignment="1">
      <alignment horizontal="center" vertical="center" wrapText="1"/>
    </xf>
    <xf numFmtId="0" fontId="7" fillId="0" borderId="5" xfId="0" applyFont="1" applyBorder="1" applyAlignment="1">
      <alignment horizontal="left" vertical="center"/>
    </xf>
    <xf numFmtId="0" fontId="3" fillId="0" borderId="0" xfId="0" applyFont="1" applyAlignment="1">
      <alignment horizontal="center" vertical="center"/>
    </xf>
    <xf numFmtId="0" fontId="7" fillId="0" borderId="5" xfId="0" applyFont="1" applyBorder="1" applyAlignment="1">
      <alignment horizontal="left" vertical="center" wrapText="1"/>
    </xf>
    <xf numFmtId="4" fontId="7" fillId="0" borderId="5" xfId="0" applyNumberFormat="1" applyFont="1" applyBorder="1" applyAlignment="1">
      <alignment horizontal="center" vertical="center"/>
    </xf>
    <xf numFmtId="0" fontId="3" fillId="0" borderId="0" xfId="0" applyFont="1" applyAlignment="1">
      <alignment vertical="center" wrapText="1"/>
    </xf>
    <xf numFmtId="0" fontId="8" fillId="0" borderId="0" xfId="0" applyFont="1" applyAlignment="1">
      <alignment vertical="center"/>
    </xf>
    <xf numFmtId="0" fontId="0" fillId="0" borderId="0" xfId="0" applyFont="1" applyAlignment="1">
      <alignment vertical="center" wrapText="1"/>
    </xf>
    <xf numFmtId="10" fontId="0" fillId="0" borderId="0" xfId="0" applyNumberFormat="1" applyAlignment="1">
      <alignment vertical="center"/>
    </xf>
    <xf numFmtId="180" fontId="0" fillId="0" borderId="0" xfId="0" applyNumberFormat="1" applyAlignment="1">
      <alignment vertical="center"/>
    </xf>
    <xf numFmtId="43" fontId="0" fillId="0" borderId="0" xfId="0" applyNumberFormat="1" applyAlignment="1">
      <alignment vertical="center"/>
    </xf>
    <xf numFmtId="181" fontId="0" fillId="0" borderId="0" xfId="0" applyNumberFormat="1" applyAlignment="1">
      <alignment vertical="center"/>
    </xf>
    <xf numFmtId="0" fontId="3" fillId="0" borderId="5" xfId="0" applyFont="1" applyBorder="1" applyAlignment="1">
      <alignment vertical="center"/>
    </xf>
    <xf numFmtId="0" fontId="9" fillId="0" borderId="5" xfId="0" applyFont="1" applyBorder="1" applyAlignment="1">
      <alignment horizontal="center" vertical="center"/>
    </xf>
    <xf numFmtId="43" fontId="10" fillId="0" borderId="5" xfId="0" applyNumberFormat="1" applyFont="1" applyBorder="1" applyAlignment="1">
      <alignment horizontal="center" vertical="center" wrapText="1"/>
    </xf>
    <xf numFmtId="14" fontId="10" fillId="0" borderId="5" xfId="0" applyNumberFormat="1" applyFont="1" applyBorder="1" applyAlignment="1">
      <alignment horizontal="center" vertical="center" wrapText="1"/>
    </xf>
    <xf numFmtId="0" fontId="10" fillId="0" borderId="5" xfId="0" applyFont="1" applyBorder="1" applyAlignment="1">
      <alignment horizontal="center" vertical="center" wrapText="1"/>
    </xf>
    <xf numFmtId="0" fontId="9" fillId="0" borderId="5" xfId="0" applyFont="1" applyBorder="1" applyAlignment="1">
      <alignment horizontal="center" vertical="center" wrapText="1"/>
    </xf>
    <xf numFmtId="0" fontId="5" fillId="0" borderId="5" xfId="0" applyFont="1" applyBorder="1" applyAlignment="1">
      <alignment horizontal="center" vertical="center"/>
    </xf>
    <xf numFmtId="3" fontId="5" fillId="0" borderId="5" xfId="0" applyNumberFormat="1" applyFont="1" applyBorder="1" applyAlignment="1">
      <alignment horizontal="center" vertical="center"/>
    </xf>
    <xf numFmtId="10" fontId="10" fillId="0" borderId="5" xfId="0" applyNumberFormat="1" applyFont="1" applyBorder="1" applyAlignment="1">
      <alignment horizontal="center" vertical="center" wrapText="1"/>
    </xf>
    <xf numFmtId="180" fontId="10" fillId="0" borderId="5" xfId="0" applyNumberFormat="1" applyFont="1" applyBorder="1" applyAlignment="1">
      <alignment horizontal="center" vertical="center" wrapText="1"/>
    </xf>
    <xf numFmtId="4" fontId="10" fillId="0" borderId="5" xfId="0" applyNumberFormat="1" applyFont="1" applyBorder="1" applyAlignment="1">
      <alignment horizontal="center" vertical="center" wrapText="1"/>
    </xf>
    <xf numFmtId="0" fontId="5" fillId="0" borderId="5" xfId="0" applyNumberFormat="1" applyFont="1" applyBorder="1" applyAlignment="1">
      <alignment horizontal="center" vertical="center" wrapText="1"/>
    </xf>
    <xf numFmtId="0" fontId="5" fillId="0" borderId="5" xfId="0" applyFont="1" applyBorder="1" applyAlignment="1">
      <alignment horizontal="left" vertical="center" wrapText="1"/>
    </xf>
    <xf numFmtId="179" fontId="10" fillId="0" borderId="5" xfId="0" applyNumberFormat="1" applyFont="1" applyBorder="1" applyAlignment="1">
      <alignment horizontal="center" vertical="center" wrapText="1"/>
    </xf>
    <xf numFmtId="9" fontId="10" fillId="0" borderId="5" xfId="0" applyNumberFormat="1" applyFont="1" applyBorder="1" applyAlignment="1">
      <alignment horizontal="center" vertical="center" wrapText="1"/>
    </xf>
    <xf numFmtId="181" fontId="10" fillId="0" borderId="5" xfId="0" applyNumberFormat="1" applyFont="1" applyBorder="1" applyAlignment="1">
      <alignment horizontal="center" vertical="center" wrapText="1"/>
    </xf>
    <xf numFmtId="0" fontId="9" fillId="0" borderId="6" xfId="0" applyFont="1" applyBorder="1" applyAlignment="1">
      <alignment horizontal="center" vertical="center"/>
    </xf>
    <xf numFmtId="0" fontId="1" fillId="0" borderId="0" xfId="0" applyFont="1" applyAlignment="1">
      <alignment horizontal="left" vertical="center" wrapText="1"/>
    </xf>
    <xf numFmtId="0" fontId="10" fillId="9" borderId="5" xfId="0" applyFont="1" applyFill="1" applyBorder="1" applyAlignment="1">
      <alignment vertical="center" wrapText="1"/>
    </xf>
    <xf numFmtId="0" fontId="9" fillId="7" borderId="5" xfId="0" applyFont="1" applyFill="1" applyBorder="1" applyAlignment="1">
      <alignment horizontal="center" vertical="center" wrapText="1"/>
    </xf>
    <xf numFmtId="0" fontId="9" fillId="7" borderId="7" xfId="0" applyFont="1" applyFill="1" applyBorder="1" applyAlignment="1">
      <alignment horizontal="center" vertical="center" wrapText="1"/>
    </xf>
    <xf numFmtId="0" fontId="9" fillId="7" borderId="8" xfId="0" applyFont="1" applyFill="1" applyBorder="1" applyAlignment="1">
      <alignment horizontal="center" vertical="center" wrapText="1"/>
    </xf>
    <xf numFmtId="0" fontId="9" fillId="10" borderId="5" xfId="0" applyFont="1" applyFill="1" applyBorder="1" applyAlignment="1">
      <alignment horizontal="center" vertical="center" wrapText="1"/>
    </xf>
    <xf numFmtId="0" fontId="10" fillId="9" borderId="5" xfId="0" applyFont="1" applyFill="1" applyBorder="1" applyAlignment="1">
      <alignment horizontal="center" vertical="center" wrapText="1"/>
    </xf>
    <xf numFmtId="0" fontId="9" fillId="9" borderId="5" xfId="0" applyFont="1" applyFill="1" applyBorder="1" applyAlignment="1">
      <alignment horizontal="center" vertical="center" wrapText="1"/>
    </xf>
    <xf numFmtId="179" fontId="9" fillId="11" borderId="9" xfId="0" applyNumberFormat="1" applyFont="1" applyFill="1" applyBorder="1" applyAlignment="1">
      <alignment horizontal="center" vertical="center" wrapText="1"/>
    </xf>
    <xf numFmtId="3" fontId="9" fillId="11" borderId="5" xfId="0" applyNumberFormat="1" applyFont="1" applyFill="1" applyBorder="1" applyAlignment="1">
      <alignment horizontal="center" vertical="center" wrapText="1"/>
    </xf>
    <xf numFmtId="10" fontId="9" fillId="11" borderId="10" xfId="0" applyNumberFormat="1" applyFont="1" applyFill="1" applyBorder="1" applyAlignment="1">
      <alignment horizontal="center" vertical="center" wrapText="1"/>
    </xf>
    <xf numFmtId="0" fontId="9" fillId="11" borderId="5" xfId="0" applyFont="1" applyFill="1" applyBorder="1" applyAlignment="1">
      <alignment horizontal="center" vertical="center" wrapText="1"/>
    </xf>
    <xf numFmtId="180" fontId="9" fillId="11" borderId="5" xfId="0" applyNumberFormat="1" applyFont="1" applyFill="1" applyBorder="1" applyAlignment="1">
      <alignment horizontal="center" vertical="center" wrapText="1"/>
    </xf>
    <xf numFmtId="43" fontId="9" fillId="12" borderId="5" xfId="0" applyNumberFormat="1" applyFont="1" applyFill="1" applyBorder="1" applyAlignment="1">
      <alignment horizontal="center" vertical="center" wrapText="1"/>
    </xf>
    <xf numFmtId="0" fontId="9" fillId="12" borderId="5" xfId="0" applyFont="1" applyFill="1" applyBorder="1" applyAlignment="1">
      <alignment horizontal="center" vertical="center" wrapText="1"/>
    </xf>
    <xf numFmtId="0" fontId="9" fillId="12" borderId="5" xfId="0" applyNumberFormat="1"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13" borderId="5" xfId="0" applyFont="1" applyFill="1" applyBorder="1" applyAlignment="1">
      <alignment horizontal="center" vertical="center" wrapText="1"/>
    </xf>
    <xf numFmtId="14" fontId="9" fillId="13" borderId="5" xfId="0" applyNumberFormat="1" applyFont="1" applyFill="1" applyBorder="1" applyAlignment="1">
      <alignment horizontal="center" vertical="center" wrapText="1"/>
    </xf>
    <xf numFmtId="0" fontId="9" fillId="14" borderId="5" xfId="0" applyFont="1" applyFill="1" applyBorder="1" applyAlignment="1">
      <alignment horizontal="center" vertical="center" wrapText="1"/>
    </xf>
    <xf numFmtId="0" fontId="9" fillId="15" borderId="5" xfId="0" applyFont="1" applyFill="1" applyBorder="1" applyAlignment="1">
      <alignment horizontal="center" vertical="center" wrapText="1"/>
    </xf>
    <xf numFmtId="181" fontId="9" fillId="15" borderId="5" xfId="0" applyNumberFormat="1" applyFont="1" applyFill="1" applyBorder="1" applyAlignment="1">
      <alignment horizontal="center" vertical="center" wrapText="1"/>
    </xf>
    <xf numFmtId="0" fontId="9" fillId="16" borderId="5" xfId="0" applyFont="1" applyFill="1" applyBorder="1" applyAlignment="1">
      <alignment vertical="center" wrapText="1"/>
    </xf>
    <xf numFmtId="0" fontId="9" fillId="16" borderId="5" xfId="0" applyFont="1" applyFill="1" applyBorder="1" applyAlignment="1">
      <alignment horizontal="center" vertical="center" wrapText="1"/>
    </xf>
    <xf numFmtId="0" fontId="9" fillId="16" borderId="11" xfId="0" applyFont="1" applyFill="1" applyBorder="1" applyAlignment="1">
      <alignment horizontal="center" vertical="center" wrapText="1"/>
    </xf>
    <xf numFmtId="0" fontId="1" fillId="0" borderId="5" xfId="0" applyFont="1" applyBorder="1" applyAlignment="1">
      <alignment vertical="center"/>
    </xf>
    <xf numFmtId="43" fontId="7" fillId="0" borderId="5" xfId="0" applyNumberFormat="1" applyFont="1" applyBorder="1" applyAlignment="1">
      <alignment horizontal="center" vertical="center" wrapText="1"/>
    </xf>
    <xf numFmtId="14" fontId="7" fillId="0" borderId="5" xfId="0" applyNumberFormat="1" applyFont="1" applyBorder="1" applyAlignment="1">
      <alignment horizontal="center" vertical="center" wrapText="1"/>
    </xf>
    <xf numFmtId="0" fontId="7" fillId="0" borderId="5" xfId="0" applyFont="1" applyBorder="1" applyAlignment="1">
      <alignment vertical="center" wrapText="1"/>
    </xf>
    <xf numFmtId="3" fontId="7" fillId="0" borderId="5" xfId="0" applyNumberFormat="1" applyFont="1" applyBorder="1" applyAlignment="1">
      <alignment horizontal="center" vertical="center" wrapText="1"/>
    </xf>
    <xf numFmtId="10" fontId="7" fillId="0" borderId="5" xfId="0" applyNumberFormat="1" applyFont="1" applyBorder="1" applyAlignment="1">
      <alignment horizontal="center" vertical="center" wrapText="1"/>
    </xf>
    <xf numFmtId="180" fontId="7" fillId="0" borderId="5" xfId="0" applyNumberFormat="1" applyFont="1" applyBorder="1" applyAlignment="1">
      <alignment horizontal="center" vertical="center" wrapText="1"/>
    </xf>
    <xf numFmtId="0" fontId="7" fillId="0" borderId="12" xfId="0" applyFont="1" applyBorder="1" applyAlignment="1">
      <alignment horizontal="center" vertical="center" wrapText="1"/>
    </xf>
    <xf numFmtId="43" fontId="7" fillId="0" borderId="13" xfId="0" applyNumberFormat="1" applyFont="1" applyBorder="1" applyAlignment="1">
      <alignment horizontal="center" vertical="center" wrapText="1"/>
    </xf>
    <xf numFmtId="0" fontId="7" fillId="0" borderId="13" xfId="0" applyFont="1" applyBorder="1" applyAlignment="1">
      <alignment horizontal="center" vertical="center" wrapText="1"/>
    </xf>
    <xf numFmtId="0" fontId="1" fillId="0" borderId="13" xfId="0" applyFont="1" applyBorder="1" applyAlignment="1">
      <alignment horizontal="center" vertical="center"/>
    </xf>
    <xf numFmtId="0" fontId="1" fillId="0" borderId="13" xfId="0" applyNumberFormat="1" applyFont="1" applyBorder="1" applyAlignment="1">
      <alignment horizontal="center" vertical="center"/>
    </xf>
    <xf numFmtId="179" fontId="7" fillId="0" borderId="5" xfId="0" applyNumberFormat="1" applyFont="1" applyBorder="1" applyAlignment="1">
      <alignment horizontal="center" vertical="center" wrapText="1"/>
    </xf>
    <xf numFmtId="9" fontId="7" fillId="0" borderId="5" xfId="0" applyNumberFormat="1" applyFont="1" applyBorder="1" applyAlignment="1">
      <alignment horizontal="center" vertical="center" wrapText="1"/>
    </xf>
    <xf numFmtId="4" fontId="7" fillId="0" borderId="5" xfId="0" applyNumberFormat="1" applyFont="1" applyBorder="1" applyAlignment="1">
      <alignment horizontal="center" vertical="center" wrapText="1"/>
    </xf>
    <xf numFmtId="43" fontId="7" fillId="0" borderId="5" xfId="0" applyNumberFormat="1" applyFont="1" applyBorder="1" applyAlignment="1">
      <alignment horizontal="left" vertical="center" wrapText="1"/>
    </xf>
    <xf numFmtId="41" fontId="7" fillId="0" borderId="5" xfId="0" applyNumberFormat="1" applyFont="1" applyBorder="1" applyAlignment="1">
      <alignment horizontal="center" vertical="center" wrapText="1"/>
    </xf>
    <xf numFmtId="181" fontId="7"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7" fillId="0" borderId="6" xfId="0" applyFont="1" applyBorder="1" applyAlignment="1">
      <alignment horizontal="left" vertical="center" wrapText="1"/>
    </xf>
    <xf numFmtId="179" fontId="7" fillId="0" borderId="14" xfId="0" applyNumberFormat="1" applyFont="1" applyBorder="1" applyAlignment="1">
      <alignment horizontal="left" vertical="center" wrapText="1"/>
    </xf>
    <xf numFmtId="14" fontId="7" fillId="0" borderId="0" xfId="0" applyNumberFormat="1" applyFont="1" applyAlignment="1">
      <alignment horizontal="left" vertical="center" wrapText="1"/>
    </xf>
    <xf numFmtId="43" fontId="7" fillId="0" borderId="0" xfId="0" applyNumberFormat="1" applyFont="1" applyAlignment="1">
      <alignment horizontal="left" vertical="center" wrapText="1"/>
    </xf>
    <xf numFmtId="4" fontId="7" fillId="0" borderId="0" xfId="0" applyNumberFormat="1" applyFont="1" applyAlignment="1">
      <alignment horizontal="left" vertical="center" wrapText="1"/>
    </xf>
    <xf numFmtId="9" fontId="7" fillId="0" borderId="0" xfId="0" applyNumberFormat="1" applyFont="1" applyAlignment="1">
      <alignment horizontal="left" vertical="center" wrapText="1"/>
    </xf>
    <xf numFmtId="0" fontId="1" fillId="0" borderId="0" xfId="0" applyFont="1" applyAlignment="1"/>
    <xf numFmtId="0" fontId="3" fillId="0" borderId="5" xfId="0" applyFont="1" applyBorder="1" applyAlignment="1"/>
    <xf numFmtId="0" fontId="1" fillId="0" borderId="5" xfId="0" applyFont="1" applyBorder="1" applyAlignment="1">
      <alignment horizontal="center" vertical="center"/>
    </xf>
    <xf numFmtId="4" fontId="7" fillId="0" borderId="15" xfId="0" applyNumberFormat="1" applyFont="1" applyBorder="1" applyAlignment="1">
      <alignment horizontal="center" vertical="center" wrapText="1"/>
    </xf>
    <xf numFmtId="43" fontId="7" fillId="0" borderId="16" xfId="0" applyNumberFormat="1" applyFont="1" applyBorder="1" applyAlignment="1">
      <alignment horizontal="left" vertical="center" wrapText="1"/>
    </xf>
    <xf numFmtId="41" fontId="7" fillId="0" borderId="16" xfId="0" applyNumberFormat="1" applyFont="1" applyBorder="1" applyAlignment="1">
      <alignment horizontal="center" vertical="center" wrapText="1"/>
    </xf>
    <xf numFmtId="0" fontId="7" fillId="0" borderId="16" xfId="0" applyFont="1" applyBorder="1" applyAlignment="1">
      <alignment horizontal="center" vertical="center" wrapText="1"/>
    </xf>
    <xf numFmtId="0" fontId="1" fillId="0" borderId="16" xfId="0" applyNumberFormat="1" applyFont="1" applyBorder="1" applyAlignment="1">
      <alignment horizontal="left" vertical="center" wrapText="1"/>
    </xf>
    <xf numFmtId="179" fontId="7" fillId="0" borderId="5" xfId="0" applyNumberFormat="1" applyFont="1" applyBorder="1" applyAlignment="1">
      <alignment horizontal="left" vertical="center" wrapText="1"/>
    </xf>
    <xf numFmtId="14" fontId="7" fillId="0" borderId="5" xfId="0" applyNumberFormat="1" applyFont="1" applyBorder="1" applyAlignment="1">
      <alignment horizontal="left" vertical="center" wrapText="1"/>
    </xf>
    <xf numFmtId="9" fontId="7" fillId="0" borderId="5" xfId="0" applyNumberFormat="1" applyFont="1" applyBorder="1" applyAlignment="1">
      <alignment horizontal="left" vertical="center" wrapText="1"/>
    </xf>
    <xf numFmtId="4" fontId="7" fillId="0" borderId="5" xfId="0" applyNumberFormat="1" applyFont="1" applyBorder="1" applyAlignment="1">
      <alignment horizontal="left" vertical="center" wrapText="1"/>
    </xf>
    <xf numFmtId="43" fontId="7" fillId="0" borderId="6" xfId="0" applyNumberFormat="1" applyFont="1" applyBorder="1" applyAlignment="1">
      <alignment horizontal="left" vertical="center" wrapText="1"/>
    </xf>
    <xf numFmtId="0" fontId="3" fillId="0" borderId="17" xfId="0" applyFont="1" applyBorder="1" applyAlignment="1">
      <alignment horizontal="left" vertical="center"/>
    </xf>
    <xf numFmtId="43" fontId="7" fillId="0" borderId="18" xfId="0" applyNumberFormat="1" applyFont="1" applyBorder="1" applyAlignment="1">
      <alignment horizontal="left" vertical="center" wrapText="1"/>
    </xf>
    <xf numFmtId="43" fontId="7" fillId="17" borderId="5" xfId="0" applyNumberFormat="1" applyFont="1" applyFill="1" applyBorder="1" applyAlignment="1">
      <alignment horizontal="center" vertical="center" wrapText="1"/>
    </xf>
    <xf numFmtId="14" fontId="7" fillId="17" borderId="5" xfId="0" applyNumberFormat="1" applyFont="1" applyFill="1" applyBorder="1" applyAlignment="1">
      <alignment horizontal="center" vertical="center" wrapText="1"/>
    </xf>
    <xf numFmtId="0" fontId="7" fillId="17" borderId="5" xfId="0" applyFont="1" applyFill="1" applyBorder="1" applyAlignment="1">
      <alignment horizontal="center" vertical="center" wrapText="1"/>
    </xf>
    <xf numFmtId="0" fontId="7" fillId="17" borderId="5" xfId="0" applyFont="1" applyFill="1" applyBorder="1" applyAlignment="1">
      <alignment horizontal="left" vertical="center" wrapText="1"/>
    </xf>
    <xf numFmtId="43" fontId="7" fillId="17" borderId="5" xfId="0" applyNumberFormat="1" applyFont="1" applyFill="1" applyBorder="1" applyAlignment="1">
      <alignment horizontal="left" vertical="center" wrapText="1"/>
    </xf>
    <xf numFmtId="0" fontId="1" fillId="0" borderId="5" xfId="0" applyFont="1" applyBorder="1" applyAlignment="1"/>
    <xf numFmtId="10" fontId="7" fillId="17" borderId="5" xfId="0" applyNumberFormat="1" applyFont="1" applyFill="1" applyBorder="1" applyAlignment="1">
      <alignment horizontal="center" vertical="center" wrapText="1"/>
    </xf>
    <xf numFmtId="43" fontId="7" fillId="17" borderId="15" xfId="0" applyNumberFormat="1" applyFont="1" applyFill="1" applyBorder="1" applyAlignment="1">
      <alignment horizontal="left" vertical="center" wrapText="1"/>
    </xf>
    <xf numFmtId="43" fontId="7" fillId="17" borderId="16" xfId="0" applyNumberFormat="1" applyFont="1" applyFill="1" applyBorder="1" applyAlignment="1">
      <alignment horizontal="center" vertical="center" wrapText="1"/>
    </xf>
    <xf numFmtId="41" fontId="7" fillId="17" borderId="16" xfId="0" applyNumberFormat="1" applyFont="1" applyFill="1" applyBorder="1" applyAlignment="1">
      <alignment horizontal="center" vertical="center" wrapText="1"/>
    </xf>
    <xf numFmtId="0" fontId="7" fillId="17" borderId="16" xfId="0" applyNumberFormat="1" applyFont="1" applyFill="1" applyBorder="1" applyAlignment="1">
      <alignment horizontal="center" vertical="center" wrapText="1"/>
    </xf>
    <xf numFmtId="43" fontId="7" fillId="17" borderId="19" xfId="0" applyNumberFormat="1" applyFont="1" applyFill="1" applyBorder="1" applyAlignment="1">
      <alignment horizontal="left" vertical="center" wrapText="1"/>
    </xf>
    <xf numFmtId="43" fontId="7" fillId="17" borderId="6" xfId="0" applyNumberFormat="1" applyFont="1" applyFill="1" applyBorder="1" applyAlignment="1">
      <alignment horizontal="left" vertical="center" wrapText="1"/>
    </xf>
    <xf numFmtId="43" fontId="7" fillId="17" borderId="14" xfId="0" applyNumberFormat="1" applyFont="1" applyFill="1" applyBorder="1" applyAlignment="1">
      <alignment horizontal="left" vertical="center" wrapText="1"/>
    </xf>
    <xf numFmtId="0" fontId="7" fillId="17" borderId="15" xfId="0" applyFont="1" applyFill="1" applyBorder="1" applyAlignment="1">
      <alignment horizontal="left" vertical="center" wrapText="1"/>
    </xf>
    <xf numFmtId="179" fontId="7" fillId="17" borderId="5" xfId="0" applyNumberFormat="1" applyFont="1" applyFill="1" applyBorder="1" applyAlignment="1">
      <alignment horizontal="center" vertical="center" wrapText="1"/>
    </xf>
    <xf numFmtId="43" fontId="7" fillId="17" borderId="20" xfId="0" applyNumberFormat="1" applyFont="1" applyFill="1" applyBorder="1" applyAlignment="1">
      <alignment horizontal="center" vertical="center" wrapText="1"/>
    </xf>
    <xf numFmtId="43" fontId="7" fillId="17" borderId="20" xfId="0" applyNumberFormat="1" applyFont="1" applyFill="1" applyBorder="1" applyAlignment="1">
      <alignment horizontal="left" vertical="center" wrapText="1"/>
    </xf>
    <xf numFmtId="0" fontId="7" fillId="17" borderId="20" xfId="0" applyFont="1" applyFill="1" applyBorder="1" applyAlignment="1">
      <alignment horizontal="center" vertical="center" wrapText="1"/>
    </xf>
    <xf numFmtId="0" fontId="7" fillId="17" borderId="20" xfId="0" applyFont="1" applyFill="1" applyBorder="1" applyAlignment="1">
      <alignment horizontal="left" vertical="center" wrapText="1"/>
    </xf>
    <xf numFmtId="180" fontId="7" fillId="17" borderId="20" xfId="0" applyNumberFormat="1" applyFont="1" applyFill="1" applyBorder="1" applyAlignment="1">
      <alignment horizontal="center" vertical="center" wrapText="1"/>
    </xf>
    <xf numFmtId="43" fontId="7" fillId="17" borderId="21" xfId="0" applyNumberFormat="1" applyFont="1" applyFill="1" applyBorder="1" applyAlignment="1">
      <alignment horizontal="left" vertical="center" wrapText="1"/>
    </xf>
    <xf numFmtId="43" fontId="7" fillId="17" borderId="22" xfId="0" applyNumberFormat="1" applyFont="1" applyFill="1" applyBorder="1" applyAlignment="1">
      <alignment horizontal="center" vertical="center" wrapText="1"/>
    </xf>
    <xf numFmtId="41" fontId="7" fillId="17" borderId="22" xfId="0" applyNumberFormat="1" applyFont="1" applyFill="1" applyBorder="1" applyAlignment="1">
      <alignment horizontal="center" vertical="center" wrapText="1"/>
    </xf>
    <xf numFmtId="0" fontId="7" fillId="17" borderId="22" xfId="0" applyNumberFormat="1" applyFont="1" applyFill="1" applyBorder="1" applyAlignment="1">
      <alignment horizontal="center" vertical="center" wrapText="1"/>
    </xf>
    <xf numFmtId="43" fontId="7" fillId="17" borderId="11" xfId="0" applyNumberFormat="1" applyFont="1" applyFill="1" applyBorder="1" applyAlignment="1">
      <alignment horizontal="left" vertical="center" wrapText="1"/>
    </xf>
    <xf numFmtId="0" fontId="11" fillId="0" borderId="5" xfId="0" applyFont="1" applyBorder="1" applyAlignment="1">
      <alignment horizontal="left" vertical="center" wrapText="1"/>
    </xf>
    <xf numFmtId="180" fontId="1" fillId="0" borderId="5" xfId="0" applyNumberFormat="1" applyFont="1" applyBorder="1" applyAlignment="1">
      <alignment horizontal="center" vertical="center"/>
    </xf>
    <xf numFmtId="179" fontId="7" fillId="0" borderId="12" xfId="0" applyNumberFormat="1" applyFont="1" applyBorder="1" applyAlignment="1">
      <alignment horizontal="center" vertical="center" wrapText="1"/>
    </xf>
    <xf numFmtId="14" fontId="7" fillId="0" borderId="13" xfId="0" applyNumberFormat="1" applyFont="1" applyBorder="1" applyAlignment="1">
      <alignment horizontal="center" vertical="center" wrapText="1"/>
    </xf>
    <xf numFmtId="4" fontId="7" fillId="0" borderId="13" xfId="0" applyNumberFormat="1" applyFont="1" applyBorder="1" applyAlignment="1">
      <alignment horizontal="center" vertical="center" wrapText="1"/>
    </xf>
    <xf numFmtId="0" fontId="11" fillId="10" borderId="13" xfId="0" applyNumberFormat="1" applyFont="1" applyFill="1" applyBorder="1" applyAlignment="1">
      <alignment horizontal="center" vertical="center" wrapText="1"/>
    </xf>
    <xf numFmtId="43" fontId="7" fillId="0" borderId="14" xfId="0" applyNumberFormat="1" applyFont="1" applyBorder="1" applyAlignment="1">
      <alignment horizontal="left" vertical="center" wrapText="1"/>
    </xf>
    <xf numFmtId="179" fontId="7" fillId="0" borderId="15" xfId="0" applyNumberFormat="1" applyFont="1" applyBorder="1" applyAlignment="1">
      <alignment horizontal="center" vertical="center" wrapText="1"/>
    </xf>
    <xf numFmtId="43" fontId="7" fillId="0" borderId="16" xfId="0" applyNumberFormat="1" applyFont="1" applyBorder="1" applyAlignment="1">
      <alignment horizontal="center" vertical="center" wrapText="1"/>
    </xf>
    <xf numFmtId="14" fontId="7" fillId="0" borderId="16" xfId="0" applyNumberFormat="1" applyFont="1" applyBorder="1" applyAlignment="1">
      <alignment horizontal="center" vertical="center" wrapText="1"/>
    </xf>
    <xf numFmtId="4" fontId="7" fillId="0" borderId="16" xfId="0" applyNumberFormat="1" applyFont="1" applyBorder="1" applyAlignment="1">
      <alignment horizontal="center" vertical="center" wrapText="1"/>
    </xf>
    <xf numFmtId="0" fontId="7" fillId="0" borderId="16" xfId="0" applyNumberFormat="1" applyFont="1" applyBorder="1" applyAlignment="1">
      <alignment horizontal="center" vertical="center" wrapText="1"/>
    </xf>
    <xf numFmtId="0" fontId="7" fillId="18" borderId="5" xfId="0" applyFont="1" applyFill="1" applyBorder="1" applyAlignment="1">
      <alignment horizontal="center" vertical="center" wrapText="1"/>
    </xf>
    <xf numFmtId="0" fontId="11" fillId="0" borderId="5" xfId="0" applyFont="1" applyBorder="1" applyAlignment="1">
      <alignment vertical="center" wrapText="1"/>
    </xf>
    <xf numFmtId="0" fontId="7" fillId="0" borderId="15" xfId="0" applyFont="1" applyBorder="1" applyAlignment="1">
      <alignment horizontal="center" vertical="center" wrapText="1"/>
    </xf>
    <xf numFmtId="0" fontId="1" fillId="0" borderId="16" xfId="0" applyFont="1" applyBorder="1" applyAlignment="1">
      <alignment horizontal="center" vertical="center"/>
    </xf>
    <xf numFmtId="0" fontId="1" fillId="0" borderId="16" xfId="0" applyNumberFormat="1" applyFont="1" applyBorder="1" applyAlignment="1">
      <alignment horizontal="center" vertical="center"/>
    </xf>
    <xf numFmtId="43" fontId="7" fillId="17" borderId="19" xfId="0" applyNumberFormat="1" applyFont="1" applyFill="1" applyBorder="1" applyAlignment="1">
      <alignment horizontal="center" vertical="center" wrapText="1"/>
    </xf>
    <xf numFmtId="0" fontId="7" fillId="17" borderId="19" xfId="0" applyFont="1" applyFill="1" applyBorder="1" applyAlignment="1">
      <alignment horizontal="center" vertical="center" wrapText="1"/>
    </xf>
    <xf numFmtId="0" fontId="7" fillId="17" borderId="19" xfId="0" applyFont="1" applyFill="1" applyBorder="1" applyAlignment="1">
      <alignment horizontal="left" vertical="center" wrapText="1"/>
    </xf>
    <xf numFmtId="9" fontId="7" fillId="17" borderId="5" xfId="0" applyNumberFormat="1" applyFont="1" applyFill="1" applyBorder="1" applyAlignment="1">
      <alignment horizontal="center" vertical="center" wrapText="1"/>
    </xf>
    <xf numFmtId="14" fontId="7" fillId="17" borderId="19" xfId="0" applyNumberFormat="1" applyFont="1" applyFill="1" applyBorder="1" applyAlignment="1">
      <alignment horizontal="center" vertical="center" wrapText="1"/>
    </xf>
    <xf numFmtId="0" fontId="7" fillId="17" borderId="21" xfId="0" applyFont="1" applyFill="1" applyBorder="1" applyAlignment="1">
      <alignment horizontal="left" vertical="center" wrapText="1"/>
    </xf>
    <xf numFmtId="14" fontId="7" fillId="17" borderId="22" xfId="0" applyNumberFormat="1" applyFont="1" applyFill="1" applyBorder="1" applyAlignment="1">
      <alignment horizontal="center" vertical="center" wrapText="1"/>
    </xf>
    <xf numFmtId="0" fontId="11" fillId="17" borderId="22" xfId="0" applyNumberFormat="1" applyFont="1" applyFill="1" applyBorder="1" applyAlignment="1">
      <alignment horizontal="center" vertical="center" wrapText="1"/>
    </xf>
    <xf numFmtId="43" fontId="7" fillId="0" borderId="19" xfId="0" applyNumberFormat="1" applyFont="1" applyBorder="1" applyAlignment="1">
      <alignment horizontal="left" vertical="center" wrapText="1"/>
    </xf>
    <xf numFmtId="43" fontId="7" fillId="0" borderId="19" xfId="0" applyNumberFormat="1" applyFont="1" applyBorder="1" applyAlignment="1">
      <alignment horizontal="center" vertical="center" wrapText="1"/>
    </xf>
    <xf numFmtId="4" fontId="7" fillId="17" borderId="19" xfId="0" applyNumberFormat="1" applyFont="1" applyFill="1" applyBorder="1" applyAlignment="1">
      <alignment horizontal="center" vertical="center" wrapText="1"/>
    </xf>
    <xf numFmtId="43" fontId="7" fillId="17" borderId="23" xfId="0" applyNumberFormat="1" applyFont="1" applyFill="1" applyBorder="1" applyAlignment="1">
      <alignment horizontal="left" vertical="center" wrapText="1"/>
    </xf>
    <xf numFmtId="10" fontId="7" fillId="18" borderId="5" xfId="0" applyNumberFormat="1" applyFont="1" applyFill="1" applyBorder="1" applyAlignment="1">
      <alignment horizontal="center" vertical="center" wrapText="1"/>
    </xf>
    <xf numFmtId="180" fontId="7" fillId="18" borderId="5" xfId="0" applyNumberFormat="1" applyFont="1" applyFill="1" applyBorder="1" applyAlignment="1">
      <alignment horizontal="center" vertical="center" wrapText="1"/>
    </xf>
    <xf numFmtId="0" fontId="12" fillId="10" borderId="16" xfId="0" applyNumberFormat="1" applyFont="1" applyFill="1" applyBorder="1" applyAlignment="1">
      <alignment horizontal="center" vertical="center"/>
    </xf>
    <xf numFmtId="0" fontId="13" fillId="0" borderId="5" xfId="0" applyFont="1" applyBorder="1" applyAlignment="1">
      <alignment vertical="center" wrapText="1"/>
    </xf>
    <xf numFmtId="14" fontId="1" fillId="0" borderId="16" xfId="0" applyNumberFormat="1" applyFont="1" applyBorder="1" applyAlignment="1">
      <alignment horizontal="center" vertical="center"/>
    </xf>
    <xf numFmtId="179" fontId="14" fillId="0" borderId="14" xfId="0" applyNumberFormat="1" applyFont="1" applyBorder="1" applyAlignment="1">
      <alignment horizontal="left" vertical="center" wrapText="1"/>
    </xf>
    <xf numFmtId="14" fontId="7" fillId="18" borderId="5" xfId="0" applyNumberFormat="1" applyFont="1" applyFill="1" applyBorder="1" applyAlignment="1">
      <alignment horizontal="center" vertical="center" wrapText="1"/>
    </xf>
    <xf numFmtId="0" fontId="7" fillId="0" borderId="19" xfId="0" applyFont="1" applyBorder="1" applyAlignment="1">
      <alignment horizontal="center" vertical="center" wrapText="1"/>
    </xf>
    <xf numFmtId="0" fontId="7" fillId="0" borderId="19" xfId="0" applyFont="1" applyBorder="1" applyAlignment="1">
      <alignment horizontal="left" vertical="center" wrapText="1"/>
    </xf>
    <xf numFmtId="4" fontId="7" fillId="0" borderId="5" xfId="0" applyNumberFormat="1" applyFont="1" applyBorder="1" applyAlignment="1">
      <alignment horizontal="right" vertical="center" wrapText="1"/>
    </xf>
    <xf numFmtId="14" fontId="7" fillId="0" borderId="19" xfId="0" applyNumberFormat="1" applyFont="1" applyBorder="1" applyAlignment="1">
      <alignment horizontal="center" vertical="center" wrapText="1"/>
    </xf>
    <xf numFmtId="0" fontId="7" fillId="0" borderId="21" xfId="0" applyFont="1" applyBorder="1" applyAlignment="1">
      <alignment horizontal="left" vertical="center" wrapText="1"/>
    </xf>
    <xf numFmtId="43" fontId="7" fillId="0" borderId="22" xfId="0" applyNumberFormat="1" applyFont="1" applyBorder="1" applyAlignment="1">
      <alignment horizontal="center" vertical="center" wrapText="1"/>
    </xf>
    <xf numFmtId="41" fontId="7" fillId="0" borderId="22" xfId="0" applyNumberFormat="1" applyFont="1" applyBorder="1" applyAlignment="1">
      <alignment horizontal="center" vertical="center" wrapText="1"/>
    </xf>
    <xf numFmtId="180" fontId="7" fillId="0" borderId="22" xfId="0" applyNumberFormat="1" applyFont="1" applyBorder="1" applyAlignment="1">
      <alignment horizontal="center" vertical="center" wrapText="1"/>
    </xf>
    <xf numFmtId="0" fontId="7" fillId="0" borderId="22" xfId="0" applyNumberFormat="1" applyFont="1" applyBorder="1" applyAlignment="1">
      <alignment horizontal="center" vertical="center" wrapText="1"/>
    </xf>
    <xf numFmtId="43" fontId="11" fillId="0" borderId="19" xfId="0" applyNumberFormat="1" applyFont="1" applyBorder="1" applyAlignment="1">
      <alignment horizontal="center" vertical="center" wrapText="1"/>
    </xf>
    <xf numFmtId="176" fontId="7" fillId="0" borderId="0" xfId="0" applyNumberFormat="1" applyFont="1" applyAlignment="1">
      <alignment horizontal="center" vertical="center" wrapText="1"/>
    </xf>
    <xf numFmtId="43" fontId="7" fillId="0" borderId="23" xfId="0" applyNumberFormat="1" applyFont="1" applyBorder="1" applyAlignment="1">
      <alignment horizontal="left" vertical="center" wrapText="1"/>
    </xf>
    <xf numFmtId="14" fontId="1" fillId="0" borderId="13" xfId="0" applyNumberFormat="1" applyFont="1" applyBorder="1" applyAlignment="1">
      <alignment horizontal="center" vertical="center"/>
    </xf>
    <xf numFmtId="0" fontId="12" fillId="10" borderId="13" xfId="0" applyNumberFormat="1" applyFont="1" applyFill="1" applyBorder="1" applyAlignment="1">
      <alignment horizontal="center" vertical="center"/>
    </xf>
    <xf numFmtId="0" fontId="1" fillId="0" borderId="24" xfId="0" applyFont="1" applyBorder="1" applyAlignment="1">
      <alignment vertical="center"/>
    </xf>
    <xf numFmtId="14" fontId="7" fillId="17" borderId="24" xfId="0" applyNumberFormat="1" applyFont="1" applyFill="1" applyBorder="1" applyAlignment="1">
      <alignment horizontal="center" vertical="center" wrapText="1"/>
    </xf>
    <xf numFmtId="0" fontId="7" fillId="17" borderId="24" xfId="0" applyFont="1" applyFill="1" applyBorder="1" applyAlignment="1">
      <alignment horizontal="center" vertical="center" wrapText="1"/>
    </xf>
    <xf numFmtId="0" fontId="7" fillId="17" borderId="24" xfId="0" applyFont="1" applyFill="1" applyBorder="1" applyAlignment="1">
      <alignment horizontal="left" vertical="center" wrapText="1"/>
    </xf>
    <xf numFmtId="43" fontId="7" fillId="17" borderId="24" xfId="0" applyNumberFormat="1" applyFont="1" applyFill="1" applyBorder="1" applyAlignment="1">
      <alignment horizontal="center" vertical="center" wrapText="1"/>
    </xf>
    <xf numFmtId="10" fontId="7" fillId="17" borderId="24" xfId="0" applyNumberFormat="1" applyFont="1" applyFill="1" applyBorder="1" applyAlignment="1">
      <alignment horizontal="center" vertical="center" wrapText="1"/>
    </xf>
    <xf numFmtId="179" fontId="7" fillId="0" borderId="5" xfId="0" applyNumberFormat="1" applyFont="1" applyBorder="1" applyAlignment="1">
      <alignment horizontal="right" vertical="center" wrapText="1"/>
    </xf>
    <xf numFmtId="0" fontId="7" fillId="0" borderId="12" xfId="0" applyFont="1" applyBorder="1" applyAlignment="1">
      <alignment horizontal="left" vertical="center" wrapText="1"/>
    </xf>
    <xf numFmtId="41" fontId="7" fillId="0" borderId="13" xfId="0" applyNumberFormat="1" applyFont="1" applyBorder="1" applyAlignment="1">
      <alignment horizontal="center" vertical="center" wrapText="1"/>
    </xf>
    <xf numFmtId="0" fontId="11" fillId="0" borderId="13" xfId="0" applyNumberFormat="1" applyFont="1" applyBorder="1" applyAlignment="1">
      <alignment horizontal="center" vertical="center" wrapText="1"/>
    </xf>
    <xf numFmtId="41" fontId="7" fillId="0" borderId="5" xfId="0" applyNumberFormat="1" applyFont="1" applyBorder="1" applyAlignment="1">
      <alignment horizontal="left" vertical="center" wrapText="1"/>
    </xf>
    <xf numFmtId="43" fontId="11" fillId="0" borderId="6" xfId="0" applyNumberFormat="1" applyFont="1" applyBorder="1" applyAlignment="1">
      <alignment horizontal="left" vertical="center" wrapText="1"/>
    </xf>
    <xf numFmtId="43" fontId="11" fillId="0" borderId="14" xfId="0" applyNumberFormat="1" applyFont="1" applyBorder="1" applyAlignment="1">
      <alignment horizontal="left" vertical="center" wrapText="1"/>
    </xf>
    <xf numFmtId="0" fontId="7" fillId="0" borderId="15" xfId="0" applyFont="1" applyBorder="1" applyAlignment="1">
      <alignment horizontal="left" vertical="center" wrapText="1"/>
    </xf>
    <xf numFmtId="0" fontId="15" fillId="0" borderId="5" xfId="0" applyFont="1" applyBorder="1" applyAlignment="1">
      <alignment horizontal="left" vertical="center" wrapText="1"/>
    </xf>
    <xf numFmtId="43" fontId="16" fillId="0" borderId="6" xfId="0" applyNumberFormat="1" applyFont="1" applyBorder="1" applyAlignment="1">
      <alignment horizontal="left" vertical="center" wrapText="1"/>
    </xf>
    <xf numFmtId="0" fontId="7" fillId="18" borderId="20" xfId="0" applyFont="1" applyFill="1" applyBorder="1" applyAlignment="1">
      <alignment horizontal="center" vertical="center" wrapText="1"/>
    </xf>
    <xf numFmtId="0" fontId="7" fillId="0" borderId="20" xfId="0" applyFont="1" applyBorder="1" applyAlignment="1">
      <alignment horizontal="center" vertical="center" wrapText="1"/>
    </xf>
    <xf numFmtId="43" fontId="11" fillId="0" borderId="19" xfId="0" applyNumberFormat="1" applyFont="1" applyBorder="1" applyAlignment="1">
      <alignment horizontal="left" vertical="center" wrapText="1"/>
    </xf>
    <xf numFmtId="4" fontId="7" fillId="18" borderId="5" xfId="0" applyNumberFormat="1" applyFont="1" applyFill="1" applyBorder="1" applyAlignment="1">
      <alignment horizontal="right" vertical="center" wrapText="1"/>
    </xf>
    <xf numFmtId="10" fontId="7" fillId="18" borderId="20" xfId="0" applyNumberFormat="1" applyFont="1" applyFill="1" applyBorder="1" applyAlignment="1">
      <alignment horizontal="center" vertical="center" wrapText="1"/>
    </xf>
    <xf numFmtId="14" fontId="7" fillId="18" borderId="20" xfId="0" applyNumberFormat="1" applyFont="1" applyFill="1" applyBorder="1" applyAlignment="1">
      <alignment horizontal="center" vertical="center" wrapText="1"/>
    </xf>
    <xf numFmtId="43" fontId="11" fillId="0" borderId="22" xfId="0" applyNumberFormat="1" applyFont="1" applyBorder="1" applyAlignment="1">
      <alignment horizontal="center" vertical="center" wrapText="1"/>
    </xf>
    <xf numFmtId="41" fontId="7" fillId="0" borderId="19" xfId="0" applyNumberFormat="1" applyFont="1" applyBorder="1" applyAlignment="1">
      <alignment horizontal="left" vertical="center" wrapText="1"/>
    </xf>
    <xf numFmtId="4" fontId="7" fillId="0" borderId="19" xfId="0" applyNumberFormat="1" applyFont="1" applyBorder="1" applyAlignment="1">
      <alignment horizontal="center" vertical="center" wrapText="1"/>
    </xf>
    <xf numFmtId="43" fontId="7" fillId="0" borderId="20" xfId="0" applyNumberFormat="1" applyFont="1" applyBorder="1" applyAlignment="1">
      <alignment horizontal="center" vertical="center" wrapText="1"/>
    </xf>
    <xf numFmtId="0" fontId="7" fillId="0" borderId="13" xfId="0" applyNumberFormat="1" applyFont="1" applyBorder="1" applyAlignment="1">
      <alignment horizontal="center" vertical="center" wrapText="1"/>
    </xf>
    <xf numFmtId="0" fontId="7" fillId="0" borderId="14" xfId="0" applyFont="1" applyBorder="1" applyAlignment="1">
      <alignment horizontal="left" vertical="center" wrapText="1"/>
    </xf>
    <xf numFmtId="43" fontId="7" fillId="12" borderId="20" xfId="0" applyNumberFormat="1" applyFont="1" applyFill="1" applyBorder="1" applyAlignment="1">
      <alignment horizontal="center" vertical="center" wrapText="1"/>
    </xf>
    <xf numFmtId="0" fontId="7" fillId="12" borderId="20" xfId="0" applyFont="1" applyFill="1" applyBorder="1" applyAlignment="1">
      <alignment horizontal="center" vertical="center" wrapText="1"/>
    </xf>
    <xf numFmtId="0" fontId="7" fillId="12" borderId="5" xfId="0" applyFont="1" applyFill="1" applyBorder="1" applyAlignment="1">
      <alignment horizontal="left" vertical="center" wrapText="1"/>
    </xf>
    <xf numFmtId="0" fontId="7" fillId="12" borderId="5" xfId="0" applyFont="1" applyFill="1" applyBorder="1" applyAlignment="1">
      <alignment horizontal="center" vertical="center" wrapText="1"/>
    </xf>
    <xf numFmtId="43" fontId="7" fillId="12" borderId="5" xfId="0" applyNumberFormat="1" applyFont="1" applyFill="1" applyBorder="1" applyAlignment="1">
      <alignment horizontal="right" vertical="center" wrapText="1"/>
    </xf>
    <xf numFmtId="10" fontId="7" fillId="12" borderId="5" xfId="0" applyNumberFormat="1" applyFont="1" applyFill="1" applyBorder="1" applyAlignment="1">
      <alignment horizontal="center" vertical="center" wrapText="1"/>
    </xf>
    <xf numFmtId="14" fontId="7" fillId="12" borderId="5" xfId="0" applyNumberFormat="1" applyFont="1" applyFill="1" applyBorder="1" applyAlignment="1">
      <alignment horizontal="center" vertical="center" wrapText="1"/>
    </xf>
    <xf numFmtId="0" fontId="7" fillId="12" borderId="15" xfId="0" applyFont="1" applyFill="1" applyBorder="1" applyAlignment="1">
      <alignment horizontal="left" vertical="center" wrapText="1"/>
    </xf>
    <xf numFmtId="43" fontId="7" fillId="12" borderId="16" xfId="0" applyNumberFormat="1" applyFont="1" applyFill="1" applyBorder="1" applyAlignment="1">
      <alignment horizontal="center" vertical="center" wrapText="1"/>
    </xf>
    <xf numFmtId="41" fontId="7" fillId="12" borderId="16" xfId="0" applyNumberFormat="1" applyFont="1" applyFill="1" applyBorder="1" applyAlignment="1">
      <alignment horizontal="center" vertical="center" wrapText="1"/>
    </xf>
    <xf numFmtId="0" fontId="7" fillId="12" borderId="16" xfId="0" applyFont="1" applyFill="1" applyBorder="1" applyAlignment="1">
      <alignment horizontal="center" vertical="center" wrapText="1"/>
    </xf>
    <xf numFmtId="0" fontId="7" fillId="12" borderId="16" xfId="0" applyNumberFormat="1" applyFont="1" applyFill="1" applyBorder="1" applyAlignment="1">
      <alignment horizontal="center" vertical="center" wrapText="1"/>
    </xf>
    <xf numFmtId="0" fontId="7" fillId="19" borderId="5" xfId="0" applyFont="1" applyFill="1" applyBorder="1" applyAlignment="1">
      <alignment vertical="center" wrapText="1"/>
    </xf>
    <xf numFmtId="0" fontId="7" fillId="19" borderId="5" xfId="0" applyFont="1" applyFill="1" applyBorder="1" applyAlignment="1">
      <alignment horizontal="center" vertical="center" wrapText="1"/>
    </xf>
    <xf numFmtId="0" fontId="7" fillId="12" borderId="6" xfId="0" applyFont="1" applyFill="1" applyBorder="1" applyAlignment="1">
      <alignment horizontal="left" vertical="center" wrapText="1"/>
    </xf>
    <xf numFmtId="0" fontId="7" fillId="12" borderId="14" xfId="0" applyFont="1" applyFill="1" applyBorder="1" applyAlignment="1">
      <alignment horizontal="left" vertical="center" wrapText="1"/>
    </xf>
    <xf numFmtId="0" fontId="7" fillId="12" borderId="19" xfId="0" applyFont="1" applyFill="1" applyBorder="1" applyAlignment="1">
      <alignment horizontal="center" vertical="center" wrapText="1"/>
    </xf>
    <xf numFmtId="4" fontId="7" fillId="12" borderId="5" xfId="0" applyNumberFormat="1" applyFont="1" applyFill="1" applyBorder="1" applyAlignment="1">
      <alignment horizontal="right" vertical="center" wrapText="1"/>
    </xf>
    <xf numFmtId="4" fontId="7" fillId="12" borderId="5" xfId="0" applyNumberFormat="1" applyFont="1" applyFill="1" applyBorder="1" applyAlignment="1">
      <alignment horizontal="center" vertical="center" wrapText="1"/>
    </xf>
    <xf numFmtId="0" fontId="7" fillId="0" borderId="24" xfId="0" applyFont="1" applyBorder="1" applyAlignment="1">
      <alignment horizontal="center" vertical="center" wrapText="1"/>
    </xf>
    <xf numFmtId="43" fontId="7" fillId="0" borderId="5" xfId="0" applyNumberFormat="1" applyFont="1" applyBorder="1" applyAlignment="1">
      <alignment horizontal="right" vertical="center" wrapText="1"/>
    </xf>
    <xf numFmtId="43" fontId="7" fillId="0" borderId="16" xfId="0" applyNumberFormat="1" applyFont="1" applyBorder="1" applyAlignment="1">
      <alignment horizontal="right" vertical="center" wrapText="1"/>
    </xf>
    <xf numFmtId="41" fontId="7" fillId="0" borderId="20" xfId="0" applyNumberFormat="1" applyFont="1" applyBorder="1" applyAlignment="1">
      <alignment horizontal="left" vertical="center" wrapText="1"/>
    </xf>
    <xf numFmtId="0" fontId="7" fillId="17" borderId="6" xfId="0" applyFont="1" applyFill="1" applyBorder="1" applyAlignment="1">
      <alignment horizontal="center" vertical="center" wrapText="1"/>
    </xf>
    <xf numFmtId="4" fontId="7" fillId="17" borderId="5" xfId="0" applyNumberFormat="1" applyFont="1" applyFill="1" applyBorder="1" applyAlignment="1">
      <alignment horizontal="center" vertical="center" wrapText="1"/>
    </xf>
    <xf numFmtId="0" fontId="7" fillId="17" borderId="16" xfId="0" applyFont="1" applyFill="1" applyBorder="1" applyAlignment="1">
      <alignment horizontal="center" vertical="center" wrapText="1"/>
    </xf>
    <xf numFmtId="0" fontId="7" fillId="17" borderId="13" xfId="0" applyNumberFormat="1" applyFont="1" applyFill="1" applyBorder="1" applyAlignment="1">
      <alignment horizontal="center" vertical="center" wrapText="1"/>
    </xf>
    <xf numFmtId="0" fontId="7" fillId="17" borderId="5" xfId="0" applyFont="1" applyFill="1" applyBorder="1" applyAlignment="1">
      <alignment vertical="center" wrapText="1"/>
    </xf>
    <xf numFmtId="0" fontId="7" fillId="17" borderId="6" xfId="0" applyFont="1" applyFill="1" applyBorder="1" applyAlignment="1">
      <alignment horizontal="left" vertical="center" wrapText="1"/>
    </xf>
    <xf numFmtId="0" fontId="7" fillId="17" borderId="14" xfId="0" applyFont="1" applyFill="1" applyBorder="1" applyAlignment="1">
      <alignment horizontal="left" vertical="center" wrapText="1"/>
    </xf>
    <xf numFmtId="0" fontId="7" fillId="12" borderId="6" xfId="0" applyFont="1" applyFill="1" applyBorder="1" applyAlignment="1">
      <alignment horizontal="center" vertical="center" wrapText="1"/>
    </xf>
    <xf numFmtId="0" fontId="16" fillId="12" borderId="5" xfId="0" applyFont="1" applyFill="1" applyBorder="1" applyAlignment="1">
      <alignment horizontal="left" vertical="center" wrapText="1"/>
    </xf>
    <xf numFmtId="14" fontId="7" fillId="12" borderId="16" xfId="0" applyNumberFormat="1" applyFont="1" applyFill="1" applyBorder="1" applyAlignment="1">
      <alignment horizontal="center" vertical="center" wrapText="1"/>
    </xf>
    <xf numFmtId="0" fontId="16" fillId="12" borderId="5" xfId="0" applyFont="1" applyFill="1" applyBorder="1" applyAlignment="1">
      <alignment horizontal="center" vertical="center" wrapText="1"/>
    </xf>
    <xf numFmtId="0" fontId="7" fillId="12" borderId="20" xfId="0" applyFont="1" applyFill="1" applyBorder="1" applyAlignment="1">
      <alignment horizontal="left" vertical="center" wrapText="1"/>
    </xf>
    <xf numFmtId="0" fontId="16" fillId="12" borderId="20" xfId="0" applyFont="1" applyFill="1" applyBorder="1" applyAlignment="1">
      <alignment horizontal="left" vertical="center" wrapText="1"/>
    </xf>
    <xf numFmtId="14" fontId="7" fillId="12" borderId="20" xfId="0" applyNumberFormat="1" applyFont="1" applyFill="1" applyBorder="1" applyAlignment="1">
      <alignment horizontal="center" vertical="center" wrapText="1"/>
    </xf>
    <xf numFmtId="0" fontId="7" fillId="12" borderId="21" xfId="0" applyFont="1" applyFill="1" applyBorder="1" applyAlignment="1">
      <alignment horizontal="left" vertical="center" wrapText="1"/>
    </xf>
    <xf numFmtId="43" fontId="7" fillId="12" borderId="22" xfId="0" applyNumberFormat="1" applyFont="1" applyFill="1" applyBorder="1" applyAlignment="1">
      <alignment horizontal="center" vertical="center" wrapText="1"/>
    </xf>
    <xf numFmtId="41" fontId="7" fillId="12" borderId="22" xfId="0" applyNumberFormat="1" applyFont="1" applyFill="1" applyBorder="1" applyAlignment="1">
      <alignment horizontal="center" vertical="center" wrapText="1"/>
    </xf>
    <xf numFmtId="0" fontId="7" fillId="12" borderId="22" xfId="0" applyFont="1" applyFill="1" applyBorder="1" applyAlignment="1">
      <alignment horizontal="center" vertical="center" wrapText="1"/>
    </xf>
    <xf numFmtId="14" fontId="7" fillId="12" borderId="22" xfId="0" applyNumberFormat="1" applyFont="1" applyFill="1" applyBorder="1" applyAlignment="1">
      <alignment horizontal="center" vertical="center" wrapText="1"/>
    </xf>
    <xf numFmtId="0" fontId="7" fillId="12" borderId="22" xfId="0" applyNumberFormat="1" applyFont="1" applyFill="1" applyBorder="1" applyAlignment="1">
      <alignment horizontal="center" vertical="center" wrapText="1"/>
    </xf>
    <xf numFmtId="0" fontId="7" fillId="19" borderId="20" xfId="0" applyFont="1" applyFill="1" applyBorder="1" applyAlignment="1">
      <alignment vertical="center" wrapText="1"/>
    </xf>
    <xf numFmtId="0" fontId="7" fillId="19" borderId="20" xfId="0" applyFont="1" applyFill="1" applyBorder="1" applyAlignment="1">
      <alignment horizontal="center" vertical="center" wrapText="1"/>
    </xf>
    <xf numFmtId="0" fontId="7" fillId="12" borderId="11" xfId="0" applyFont="1" applyFill="1" applyBorder="1" applyAlignment="1">
      <alignment horizontal="left" vertical="center" wrapText="1"/>
    </xf>
    <xf numFmtId="10" fontId="7" fillId="0" borderId="20" xfId="0" applyNumberFormat="1" applyFont="1" applyBorder="1" applyAlignment="1">
      <alignment horizontal="center" vertical="center" wrapText="1"/>
    </xf>
    <xf numFmtId="0" fontId="11" fillId="10" borderId="5" xfId="0" applyFont="1" applyFill="1" applyBorder="1" applyAlignment="1">
      <alignment horizontal="left" vertical="center" wrapText="1"/>
    </xf>
    <xf numFmtId="9" fontId="7" fillId="0" borderId="20" xfId="0" applyNumberFormat="1" applyFont="1" applyBorder="1" applyAlignment="1">
      <alignment horizontal="center" vertical="center" wrapText="1"/>
    </xf>
    <xf numFmtId="176" fontId="7" fillId="0" borderId="5" xfId="0" applyNumberFormat="1" applyFont="1" applyBorder="1" applyAlignment="1">
      <alignment horizontal="center" vertical="center" wrapText="1"/>
    </xf>
    <xf numFmtId="43" fontId="11" fillId="0" borderId="16" xfId="0" applyNumberFormat="1" applyFont="1" applyBorder="1" applyAlignment="1">
      <alignment horizontal="center" vertical="center" wrapText="1"/>
    </xf>
    <xf numFmtId="14" fontId="7" fillId="0" borderId="15" xfId="0" applyNumberFormat="1" applyFont="1" applyBorder="1" applyAlignment="1">
      <alignment horizontal="center" vertical="center" wrapText="1"/>
    </xf>
    <xf numFmtId="0" fontId="3" fillId="0" borderId="16" xfId="0" applyFont="1" applyBorder="1" applyAlignment="1">
      <alignment horizontal="center" vertical="center"/>
    </xf>
    <xf numFmtId="0" fontId="11" fillId="0" borderId="14" xfId="0" applyFont="1" applyBorder="1" applyAlignment="1">
      <alignment vertical="center" wrapText="1"/>
    </xf>
    <xf numFmtId="0" fontId="3" fillId="0" borderId="20" xfId="0" applyFont="1" applyBorder="1" applyAlignment="1"/>
    <xf numFmtId="0" fontId="7" fillId="0" borderId="20" xfId="0" applyFont="1" applyBorder="1" applyAlignment="1">
      <alignment horizontal="left" vertical="center" wrapText="1"/>
    </xf>
    <xf numFmtId="0" fontId="3" fillId="0" borderId="19" xfId="0" applyFont="1" applyBorder="1" applyAlignment="1"/>
    <xf numFmtId="14" fontId="7" fillId="0" borderId="20" xfId="0" applyNumberFormat="1" applyFont="1" applyBorder="1" applyAlignment="1">
      <alignment horizontal="center" vertical="center" wrapText="1"/>
    </xf>
    <xf numFmtId="43" fontId="7" fillId="0" borderId="21" xfId="0" applyNumberFormat="1" applyFont="1" applyBorder="1" applyAlignment="1">
      <alignment horizontal="center" vertical="center" wrapText="1"/>
    </xf>
    <xf numFmtId="0" fontId="7" fillId="0" borderId="22" xfId="0" applyFont="1" applyBorder="1" applyAlignment="1">
      <alignment horizontal="center" vertical="center" wrapText="1"/>
    </xf>
    <xf numFmtId="0" fontId="7" fillId="0" borderId="22" xfId="0" applyFont="1" applyBorder="1" applyAlignment="1">
      <alignment horizontal="left" vertical="center" wrapText="1"/>
    </xf>
    <xf numFmtId="0" fontId="7" fillId="0" borderId="22" xfId="0" applyNumberFormat="1" applyFont="1" applyBorder="1" applyAlignment="1">
      <alignment horizontal="left" vertical="center" wrapText="1"/>
    </xf>
    <xf numFmtId="180" fontId="7" fillId="0" borderId="20" xfId="0" applyNumberFormat="1" applyFont="1" applyBorder="1" applyAlignment="1">
      <alignment horizontal="center" vertical="center" wrapText="1"/>
    </xf>
    <xf numFmtId="43" fontId="7" fillId="0" borderId="20" xfId="0" applyNumberFormat="1" applyFont="1" applyBorder="1" applyAlignment="1">
      <alignment horizontal="left" vertical="center" wrapText="1"/>
    </xf>
    <xf numFmtId="0" fontId="7" fillId="0" borderId="11" xfId="0" applyFont="1" applyBorder="1" applyAlignment="1">
      <alignment horizontal="left" vertical="center" wrapText="1"/>
    </xf>
    <xf numFmtId="43" fontId="7" fillId="0" borderId="12"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vertical="center"/>
    </xf>
    <xf numFmtId="0" fontId="3" fillId="0" borderId="14" xfId="0" applyFont="1" applyBorder="1" applyAlignment="1">
      <alignment vertical="center"/>
    </xf>
    <xf numFmtId="14" fontId="11" fillId="0" borderId="5" xfId="0" applyNumberFormat="1" applyFont="1" applyBorder="1" applyAlignment="1">
      <alignment horizontal="center" vertical="center" wrapText="1"/>
    </xf>
    <xf numFmtId="43" fontId="7" fillId="0" borderId="15" xfId="0" applyNumberFormat="1" applyFont="1" applyBorder="1" applyAlignment="1">
      <alignment horizontal="center" vertical="center" wrapText="1"/>
    </xf>
    <xf numFmtId="43" fontId="16" fillId="0" borderId="5" xfId="0" applyNumberFormat="1" applyFont="1" applyBorder="1" applyAlignment="1">
      <alignment horizontal="left" vertical="center" wrapText="1"/>
    </xf>
    <xf numFmtId="43" fontId="7" fillId="0" borderId="15" xfId="0" applyNumberFormat="1" applyFont="1" applyBorder="1" applyAlignment="1">
      <alignment horizontal="left" vertical="center" wrapText="1"/>
    </xf>
    <xf numFmtId="0" fontId="11" fillId="0" borderId="16" xfId="0" applyNumberFormat="1" applyFont="1" applyBorder="1" applyAlignment="1">
      <alignment horizontal="center" vertical="center" wrapText="1"/>
    </xf>
    <xf numFmtId="0" fontId="13" fillId="0" borderId="5" xfId="0" applyNumberFormat="1" applyFont="1" applyBorder="1" applyAlignment="1">
      <alignment horizontal="left" vertical="center" wrapText="1"/>
    </xf>
    <xf numFmtId="43" fontId="7" fillId="20" borderId="12" xfId="0" applyNumberFormat="1" applyFont="1" applyFill="1" applyBorder="1" applyAlignment="1">
      <alignment horizontal="center" vertical="center" wrapText="1"/>
    </xf>
    <xf numFmtId="41" fontId="7" fillId="20" borderId="13" xfId="0" applyNumberFormat="1" applyFont="1" applyFill="1" applyBorder="1" applyAlignment="1">
      <alignment horizontal="center" vertical="center" wrapText="1"/>
    </xf>
    <xf numFmtId="14" fontId="7" fillId="20" borderId="25" xfId="0" applyNumberFormat="1" applyFont="1" applyFill="1" applyBorder="1" applyAlignment="1">
      <alignment horizontal="center" vertical="center"/>
    </xf>
    <xf numFmtId="0" fontId="11" fillId="0" borderId="15" xfId="0" applyNumberFormat="1" applyFont="1" applyBorder="1" applyAlignment="1">
      <alignment horizontal="center" vertical="center" wrapText="1"/>
    </xf>
    <xf numFmtId="41" fontId="7" fillId="21" borderId="12" xfId="0" applyNumberFormat="1" applyFont="1" applyFill="1" applyBorder="1" applyAlignment="1">
      <alignment horizontal="left" vertical="center" wrapText="1"/>
    </xf>
    <xf numFmtId="14" fontId="7" fillId="21" borderId="12" xfId="0" applyNumberFormat="1" applyFont="1" applyFill="1" applyBorder="1" applyAlignment="1">
      <alignment horizontal="center" vertical="center" wrapText="1"/>
    </xf>
    <xf numFmtId="180" fontId="7" fillId="21" borderId="12" xfId="0" applyNumberFormat="1" applyFont="1" applyFill="1" applyBorder="1" applyAlignment="1">
      <alignment horizontal="center" vertical="center" wrapText="1"/>
    </xf>
    <xf numFmtId="0" fontId="7" fillId="0" borderId="5" xfId="0" applyNumberFormat="1" applyFont="1" applyBorder="1" applyAlignment="1">
      <alignment horizontal="left" vertical="center" wrapText="1"/>
    </xf>
    <xf numFmtId="43" fontId="7" fillId="20" borderId="15" xfId="0" applyNumberFormat="1" applyFont="1" applyFill="1" applyBorder="1" applyAlignment="1">
      <alignment horizontal="center" vertical="center" wrapText="1"/>
    </xf>
    <xf numFmtId="41" fontId="7" fillId="20" borderId="10" xfId="0" applyNumberFormat="1" applyFont="1" applyFill="1" applyBorder="1" applyAlignment="1">
      <alignment horizontal="center" vertical="center" wrapText="1"/>
    </xf>
    <xf numFmtId="180" fontId="7" fillId="20" borderId="15" xfId="0" applyNumberFormat="1" applyFont="1" applyFill="1" applyBorder="1" applyAlignment="1">
      <alignment horizontal="center" vertical="center" wrapText="1"/>
    </xf>
    <xf numFmtId="0" fontId="12" fillId="10" borderId="16" xfId="0" applyNumberFormat="1" applyFont="1" applyFill="1" applyBorder="1" applyAlignment="1">
      <alignment horizontal="center" vertical="center"/>
    </xf>
    <xf numFmtId="43" fontId="11" fillId="0" borderId="5" xfId="0" applyNumberFormat="1" applyFont="1" applyBorder="1" applyAlignment="1">
      <alignment horizontal="center" vertical="center" wrapText="1"/>
    </xf>
    <xf numFmtId="3" fontId="7" fillId="21" borderId="12" xfId="0" applyNumberFormat="1" applyFont="1" applyFill="1" applyBorder="1" applyAlignment="1">
      <alignment horizontal="center" vertical="center" wrapText="1"/>
    </xf>
    <xf numFmtId="0" fontId="11" fillId="0" borderId="16" xfId="0" applyNumberFormat="1" applyFont="1" applyBorder="1" applyAlignment="1">
      <alignment horizontal="center" vertical="center" wrapText="1"/>
    </xf>
    <xf numFmtId="41" fontId="7" fillId="21" borderId="12" xfId="0" applyNumberFormat="1" applyFont="1" applyFill="1" applyBorder="1" applyAlignment="1">
      <alignment horizontal="left" vertical="center"/>
    </xf>
    <xf numFmtId="0" fontId="17" fillId="0" borderId="5" xfId="0" applyFont="1" applyBorder="1" applyAlignment="1">
      <alignment horizontal="left" vertical="center"/>
    </xf>
    <xf numFmtId="43" fontId="7" fillId="21" borderId="12" xfId="0" applyNumberFormat="1" applyFont="1" applyFill="1" applyBorder="1" applyAlignment="1">
      <alignment horizontal="center" vertical="center" wrapText="1"/>
    </xf>
    <xf numFmtId="43" fontId="7" fillId="21" borderId="16" xfId="0" applyNumberFormat="1" applyFont="1" applyFill="1" applyBorder="1" applyAlignment="1">
      <alignment horizontal="center" vertical="center" wrapText="1"/>
    </xf>
    <xf numFmtId="41" fontId="7" fillId="21" borderId="10" xfId="0" applyNumberFormat="1" applyFont="1" applyFill="1" applyBorder="1" applyAlignment="1">
      <alignment horizontal="center" vertical="center" wrapText="1"/>
    </xf>
    <xf numFmtId="43" fontId="11" fillId="0" borderId="13" xfId="0" applyNumberFormat="1" applyFont="1" applyBorder="1" applyAlignment="1">
      <alignment horizontal="center" vertical="center" wrapText="1"/>
    </xf>
    <xf numFmtId="41" fontId="7" fillId="21" borderId="15" xfId="0" applyNumberFormat="1" applyFont="1" applyFill="1" applyBorder="1" applyAlignment="1">
      <alignment horizontal="center" vertical="center" wrapText="1"/>
    </xf>
    <xf numFmtId="0" fontId="11" fillId="10" borderId="15" xfId="0" applyNumberFormat="1" applyFont="1" applyFill="1" applyBorder="1" applyAlignment="1">
      <alignment horizontal="center" vertical="center" wrapText="1"/>
    </xf>
    <xf numFmtId="41" fontId="11" fillId="21" borderId="15" xfId="0" applyNumberFormat="1" applyFont="1" applyFill="1" applyBorder="1" applyAlignment="1">
      <alignment horizontal="center" vertical="center" wrapText="1"/>
    </xf>
    <xf numFmtId="41" fontId="11" fillId="21" borderId="16" xfId="0" applyNumberFormat="1" applyFont="1" applyFill="1" applyBorder="1" applyAlignment="1">
      <alignment horizontal="center" vertical="center"/>
    </xf>
    <xf numFmtId="180" fontId="7" fillId="21" borderId="16" xfId="0" applyNumberFormat="1" applyFont="1" applyFill="1" applyBorder="1" applyAlignment="1">
      <alignment horizontal="center" vertical="center"/>
    </xf>
    <xf numFmtId="43" fontId="11" fillId="21" borderId="13" xfId="0" applyNumberFormat="1" applyFont="1" applyFill="1" applyBorder="1" applyAlignment="1">
      <alignment horizontal="center" vertical="center" wrapText="1"/>
    </xf>
    <xf numFmtId="41" fontId="11" fillId="21" borderId="16" xfId="0" applyNumberFormat="1" applyFont="1" applyFill="1" applyBorder="1" applyAlignment="1">
      <alignment horizontal="center" vertical="center" wrapText="1"/>
    </xf>
    <xf numFmtId="0" fontId="18" fillId="0" borderId="5" xfId="0" applyFont="1" applyBorder="1" applyAlignment="1">
      <alignment vertical="center"/>
    </xf>
    <xf numFmtId="43" fontId="18"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0" fontId="18" fillId="0" borderId="5" xfId="0" applyFont="1" applyBorder="1" applyAlignment="1">
      <alignment horizontal="left" vertical="center" wrapText="1"/>
    </xf>
    <xf numFmtId="3" fontId="18" fillId="0" borderId="5" xfId="0" applyNumberFormat="1" applyFont="1" applyBorder="1" applyAlignment="1">
      <alignment horizontal="center" vertical="center" wrapText="1"/>
    </xf>
    <xf numFmtId="10" fontId="18" fillId="0" borderId="5" xfId="0" applyNumberFormat="1" applyFont="1" applyBorder="1" applyAlignment="1">
      <alignment horizontal="center" vertical="center" wrapText="1"/>
    </xf>
    <xf numFmtId="14" fontId="18" fillId="0" borderId="5" xfId="0" applyNumberFormat="1" applyFont="1" applyBorder="1" applyAlignment="1">
      <alignment horizontal="center" vertical="center" wrapText="1"/>
    </xf>
    <xf numFmtId="4" fontId="18" fillId="0" borderId="5" xfId="0" applyNumberFormat="1" applyFont="1" applyBorder="1" applyAlignment="1">
      <alignment horizontal="center" vertical="center" wrapText="1"/>
    </xf>
    <xf numFmtId="43" fontId="18" fillId="0" borderId="15" xfId="0" applyNumberFormat="1" applyFont="1" applyBorder="1" applyAlignment="1">
      <alignment horizontal="center" vertical="center" wrapText="1"/>
    </xf>
    <xf numFmtId="43" fontId="19" fillId="0" borderId="13" xfId="0" applyNumberFormat="1" applyFont="1" applyBorder="1" applyAlignment="1">
      <alignment horizontal="center" vertical="center" wrapText="1"/>
    </xf>
    <xf numFmtId="43" fontId="18" fillId="0" borderId="13" xfId="0" applyNumberFormat="1" applyFont="1" applyBorder="1" applyAlignment="1">
      <alignment horizontal="center" vertical="center" wrapText="1"/>
    </xf>
    <xf numFmtId="41" fontId="18" fillId="21" borderId="15" xfId="0" applyNumberFormat="1" applyFont="1" applyFill="1" applyBorder="1" applyAlignment="1">
      <alignment horizontal="center" vertical="center" wrapText="1"/>
    </xf>
    <xf numFmtId="0" fontId="19" fillId="0" borderId="15" xfId="0" applyNumberFormat="1" applyFont="1" applyBorder="1" applyAlignment="1">
      <alignment horizontal="center" vertical="center" wrapText="1"/>
    </xf>
    <xf numFmtId="41" fontId="18" fillId="21" borderId="12" xfId="0" applyNumberFormat="1" applyFont="1" applyFill="1" applyBorder="1" applyAlignment="1">
      <alignment horizontal="left" vertical="center"/>
    </xf>
    <xf numFmtId="179" fontId="18" fillId="0" borderId="5" xfId="0" applyNumberFormat="1" applyFont="1" applyBorder="1" applyAlignment="1">
      <alignment horizontal="center" vertical="center" wrapText="1"/>
    </xf>
    <xf numFmtId="14" fontId="18" fillId="21" borderId="12" xfId="0" applyNumberFormat="1" applyFont="1" applyFill="1" applyBorder="1" applyAlignment="1">
      <alignment horizontal="center" vertical="center" wrapText="1"/>
    </xf>
    <xf numFmtId="180" fontId="18" fillId="21" borderId="12" xfId="0" applyNumberFormat="1" applyFont="1" applyFill="1" applyBorder="1" applyAlignment="1">
      <alignment horizontal="center" vertical="center" wrapText="1"/>
    </xf>
    <xf numFmtId="9" fontId="18" fillId="0" borderId="5" xfId="0" applyNumberFormat="1" applyFont="1" applyBorder="1" applyAlignment="1">
      <alignment horizontal="center" vertical="center" wrapText="1"/>
    </xf>
    <xf numFmtId="43" fontId="18" fillId="0" borderId="5" xfId="0" applyNumberFormat="1" applyFont="1" applyBorder="1" applyAlignment="1">
      <alignment horizontal="left" vertical="center" wrapText="1"/>
    </xf>
    <xf numFmtId="181" fontId="18" fillId="0" borderId="5" xfId="0" applyNumberFormat="1" applyFont="1" applyBorder="1" applyAlignment="1">
      <alignment horizontal="center" vertical="center" wrapText="1"/>
    </xf>
    <xf numFmtId="43" fontId="19" fillId="0" borderId="16" xfId="0" applyNumberFormat="1" applyFont="1" applyBorder="1" applyAlignment="1">
      <alignment horizontal="center" vertical="center" wrapText="1"/>
    </xf>
    <xf numFmtId="41" fontId="19" fillId="21" borderId="15" xfId="0" applyNumberFormat="1" applyFont="1" applyFill="1" applyBorder="1" applyAlignment="1">
      <alignment horizontal="center" vertical="center" wrapText="1"/>
    </xf>
    <xf numFmtId="41" fontId="19" fillId="21" borderId="16" xfId="0" applyNumberFormat="1" applyFont="1" applyFill="1" applyBorder="1" applyAlignment="1">
      <alignment horizontal="center" vertical="center"/>
    </xf>
    <xf numFmtId="0" fontId="19" fillId="10" borderId="15" xfId="0" applyNumberFormat="1" applyFont="1" applyFill="1" applyBorder="1" applyAlignment="1">
      <alignment horizontal="center" vertical="center" wrapText="1"/>
    </xf>
    <xf numFmtId="43" fontId="18" fillId="0" borderId="6" xfId="0" applyNumberFormat="1" applyFont="1" applyBorder="1" applyAlignment="1">
      <alignment horizontal="left" vertical="center" wrapText="1"/>
    </xf>
    <xf numFmtId="41" fontId="18" fillId="21" borderId="12" xfId="0" applyNumberFormat="1" applyFont="1" applyFill="1" applyBorder="1" applyAlignment="1">
      <alignment horizontal="left" vertical="center" wrapText="1"/>
    </xf>
    <xf numFmtId="0" fontId="18" fillId="0" borderId="12" xfId="0" applyFont="1" applyBorder="1" applyAlignment="1">
      <alignment horizontal="left" vertical="center" wrapText="1"/>
    </xf>
    <xf numFmtId="0" fontId="18" fillId="0" borderId="5" xfId="0" applyFont="1" applyBorder="1" applyAlignment="1">
      <alignment horizontal="center" vertical="center"/>
    </xf>
    <xf numFmtId="3" fontId="18" fillId="0" borderId="12" xfId="0" applyNumberFormat="1" applyFont="1" applyBorder="1" applyAlignment="1">
      <alignment horizontal="center" vertical="center" wrapText="1"/>
    </xf>
    <xf numFmtId="10" fontId="18" fillId="0" borderId="12" xfId="0" applyNumberFormat="1" applyFont="1" applyBorder="1" applyAlignment="1">
      <alignment horizontal="center" vertical="center" wrapText="1"/>
    </xf>
    <xf numFmtId="0" fontId="18" fillId="0" borderId="12" xfId="0" applyFont="1" applyBorder="1" applyAlignment="1">
      <alignment horizontal="center" vertical="center" wrapText="1"/>
    </xf>
    <xf numFmtId="14" fontId="18" fillId="0" borderId="12" xfId="0" applyNumberFormat="1" applyFont="1" applyBorder="1" applyAlignment="1">
      <alignment horizontal="center" vertical="center" wrapText="1"/>
    </xf>
    <xf numFmtId="41" fontId="18" fillId="21" borderId="12" xfId="0" applyNumberFormat="1" applyFont="1" applyFill="1" applyBorder="1" applyAlignment="1">
      <alignment horizontal="center" vertical="center" wrapText="1"/>
    </xf>
    <xf numFmtId="43" fontId="18" fillId="21" borderId="12" xfId="0" applyNumberFormat="1" applyFont="1" applyFill="1" applyBorder="1" applyAlignment="1">
      <alignment horizontal="center" vertical="center" wrapText="1"/>
    </xf>
    <xf numFmtId="41" fontId="18" fillId="21" borderId="16" xfId="0" applyNumberFormat="1" applyFont="1" applyFill="1" applyBorder="1" applyAlignment="1">
      <alignment horizontal="center" vertical="center" wrapText="1"/>
    </xf>
    <xf numFmtId="180" fontId="20" fillId="0" borderId="0" xfId="0" applyNumberFormat="1" applyFont="1" applyAlignment="1">
      <alignment vertical="center"/>
    </xf>
    <xf numFmtId="43" fontId="18" fillId="21" borderId="15" xfId="0" applyNumberFormat="1" applyFont="1" applyFill="1" applyBorder="1" applyAlignment="1">
      <alignment horizontal="center" vertical="center" wrapText="1"/>
    </xf>
    <xf numFmtId="43" fontId="18" fillId="0" borderId="16" xfId="0" applyNumberFormat="1" applyFont="1" applyBorder="1" applyAlignment="1">
      <alignment horizontal="center" vertical="center" wrapText="1"/>
    </xf>
    <xf numFmtId="41" fontId="18" fillId="21" borderId="22" xfId="0" applyNumberFormat="1" applyFont="1" applyFill="1" applyBorder="1" applyAlignment="1">
      <alignment horizontal="center" vertical="center"/>
    </xf>
    <xf numFmtId="41" fontId="18" fillId="21" borderId="10" xfId="0" applyNumberFormat="1" applyFont="1" applyFill="1" applyBorder="1" applyAlignment="1">
      <alignment horizontal="center" vertical="center" wrapText="1"/>
    </xf>
    <xf numFmtId="14" fontId="20" fillId="0" borderId="26" xfId="0" applyNumberFormat="1" applyFont="1" applyBorder="1" applyAlignment="1">
      <alignment vertical="center"/>
    </xf>
    <xf numFmtId="0" fontId="19" fillId="0" borderId="16" xfId="0" applyNumberFormat="1" applyFont="1" applyBorder="1" applyAlignment="1">
      <alignment horizontal="center" vertical="center" wrapText="1"/>
    </xf>
    <xf numFmtId="0" fontId="7" fillId="0" borderId="5" xfId="0" applyFont="1" applyBorder="1" applyAlignment="1">
      <alignment vertical="center"/>
    </xf>
    <xf numFmtId="179" fontId="7" fillId="0" borderId="13" xfId="0" applyNumberFormat="1" applyFont="1" applyBorder="1" applyAlignment="1">
      <alignment horizontal="center" vertical="center" wrapText="1"/>
    </xf>
    <xf numFmtId="0" fontId="1" fillId="0" borderId="16" xfId="0" applyFont="1" applyBorder="1" applyAlignment="1">
      <alignment horizontal="left" vertical="center" wrapText="1"/>
    </xf>
    <xf numFmtId="43" fontId="7" fillId="0" borderId="11" xfId="0" applyNumberFormat="1" applyFont="1" applyBorder="1" applyAlignment="1">
      <alignment horizontal="left" vertical="center" wrapText="1"/>
    </xf>
    <xf numFmtId="0" fontId="1" fillId="0" borderId="14" xfId="0" applyFont="1" applyBorder="1" applyAlignment="1">
      <alignment vertical="center" wrapText="1"/>
    </xf>
    <xf numFmtId="179" fontId="7" fillId="0" borderId="16" xfId="0" applyNumberFormat="1" applyFont="1" applyBorder="1" applyAlignment="1">
      <alignment horizontal="center" vertical="center" wrapText="1"/>
    </xf>
    <xf numFmtId="0" fontId="1" fillId="0" borderId="16" xfId="0" applyFont="1" applyBorder="1" applyAlignment="1">
      <alignment horizontal="left" vertical="center" wrapText="1"/>
    </xf>
    <xf numFmtId="0" fontId="3" fillId="0" borderId="6" xfId="0" applyFont="1" applyBorder="1" applyAlignment="1"/>
    <xf numFmtId="43" fontId="16" fillId="0" borderId="19" xfId="0" applyNumberFormat="1" applyFont="1" applyBorder="1" applyAlignment="1">
      <alignment horizontal="left" vertical="center" wrapText="1"/>
    </xf>
    <xf numFmtId="0" fontId="21" fillId="0" borderId="5" xfId="0" applyFont="1" applyBorder="1" applyAlignment="1">
      <alignment vertical="center" wrapText="1"/>
    </xf>
    <xf numFmtId="0" fontId="18" fillId="0" borderId="20" xfId="0" applyFont="1" applyBorder="1" applyAlignment="1">
      <alignment horizontal="center" vertical="center"/>
    </xf>
    <xf numFmtId="0" fontId="19" fillId="0" borderId="5" xfId="0" applyFont="1" applyBorder="1" applyAlignment="1">
      <alignment horizontal="center" vertical="center" wrapText="1"/>
    </xf>
    <xf numFmtId="180" fontId="18" fillId="0" borderId="5" xfId="0" applyNumberFormat="1" applyFont="1" applyBorder="1" applyAlignment="1">
      <alignment horizontal="center" vertical="center" wrapText="1"/>
    </xf>
    <xf numFmtId="14" fontId="18" fillId="0" borderId="15" xfId="0" applyNumberFormat="1" applyFont="1" applyBorder="1" applyAlignment="1">
      <alignment horizontal="center" vertical="center" wrapText="1"/>
    </xf>
    <xf numFmtId="180" fontId="18" fillId="0" borderId="16" xfId="0" applyNumberFormat="1" applyFont="1" applyBorder="1" applyAlignment="1">
      <alignment horizontal="center" vertical="center" wrapText="1"/>
    </xf>
    <xf numFmtId="41" fontId="18" fillId="0" borderId="16" xfId="0" applyNumberFormat="1" applyFont="1" applyBorder="1" applyAlignment="1">
      <alignment horizontal="center" vertical="center" wrapText="1"/>
    </xf>
    <xf numFmtId="0" fontId="19" fillId="0" borderId="16" xfId="0" applyNumberFormat="1" applyFont="1" applyBorder="1" applyAlignment="1">
      <alignment horizontal="center" vertical="center" wrapText="1"/>
    </xf>
    <xf numFmtId="9" fontId="18" fillId="0" borderId="5" xfId="0" applyNumberFormat="1" applyFont="1" applyBorder="1" applyAlignment="1">
      <alignment horizontal="left" vertical="center" wrapText="1"/>
    </xf>
    <xf numFmtId="179" fontId="18" fillId="0" borderId="5" xfId="0" applyNumberFormat="1" applyFont="1" applyBorder="1" applyAlignment="1">
      <alignment horizontal="left" vertical="center" wrapText="1"/>
    </xf>
    <xf numFmtId="14" fontId="18" fillId="0" borderId="5" xfId="0" applyNumberFormat="1" applyFont="1" applyBorder="1" applyAlignment="1">
      <alignment horizontal="left" vertical="center" wrapText="1"/>
    </xf>
    <xf numFmtId="180" fontId="18" fillId="0" borderId="5" xfId="0" applyNumberFormat="1" applyFont="1" applyBorder="1" applyAlignment="1">
      <alignment horizontal="left" vertical="center" wrapText="1"/>
    </xf>
    <xf numFmtId="0" fontId="18" fillId="0" borderId="5" xfId="0" applyFont="1" applyBorder="1" applyAlignment="1">
      <alignment horizontal="left" vertical="center"/>
    </xf>
    <xf numFmtId="0" fontId="18" fillId="0" borderId="6" xfId="0" applyFont="1" applyBorder="1" applyAlignment="1">
      <alignment horizontal="left" vertical="center"/>
    </xf>
    <xf numFmtId="0" fontId="18" fillId="0" borderId="14" xfId="0" applyFont="1" applyBorder="1" applyAlignment="1">
      <alignment horizontal="left" vertical="center" wrapText="1"/>
    </xf>
    <xf numFmtId="0" fontId="22" fillId="0" borderId="5" xfId="0" applyFont="1" applyBorder="1" applyAlignment="1">
      <alignment horizontal="left" vertical="center" wrapText="1"/>
    </xf>
    <xf numFmtId="0" fontId="19" fillId="0" borderId="5" xfId="0" applyFont="1" applyBorder="1" applyAlignment="1">
      <alignment horizontal="left" vertical="center" wrapText="1"/>
    </xf>
    <xf numFmtId="14" fontId="18" fillId="0" borderId="5" xfId="0" applyNumberFormat="1" applyFont="1" applyBorder="1" applyAlignment="1">
      <alignment horizontal="left" vertical="center"/>
    </xf>
    <xf numFmtId="181" fontId="18" fillId="0" borderId="5" xfId="0" applyNumberFormat="1" applyFont="1" applyBorder="1" applyAlignment="1">
      <alignment horizontal="center" vertical="center"/>
    </xf>
    <xf numFmtId="10" fontId="19" fillId="0" borderId="5" xfId="0" applyNumberFormat="1" applyFont="1" applyBorder="1" applyAlignment="1">
      <alignment horizontal="center" vertical="center" wrapText="1"/>
    </xf>
    <xf numFmtId="0" fontId="18" fillId="0" borderId="16" xfId="0" applyNumberFormat="1" applyFont="1" applyBorder="1" applyAlignment="1">
      <alignment horizontal="center" vertical="center" wrapText="1"/>
    </xf>
    <xf numFmtId="0" fontId="19" fillId="0" borderId="5" xfId="0" applyFont="1" applyBorder="1" applyAlignment="1">
      <alignment horizontal="left" vertical="center"/>
    </xf>
    <xf numFmtId="0" fontId="3" fillId="0" borderId="24" xfId="0" applyFont="1" applyBorder="1" applyAlignment="1"/>
    <xf numFmtId="14" fontId="7" fillId="0" borderId="24" xfId="0" applyNumberFormat="1" applyFont="1" applyBorder="1" applyAlignment="1">
      <alignment horizontal="center" vertical="center" wrapText="1"/>
    </xf>
    <xf numFmtId="0" fontId="7" fillId="0" borderId="24" xfId="0" applyFont="1" applyBorder="1" applyAlignment="1">
      <alignment horizontal="left" vertical="center" wrapText="1"/>
    </xf>
    <xf numFmtId="0" fontId="18" fillId="0" borderId="16" xfId="0" applyFont="1" applyBorder="1" applyAlignment="1">
      <alignment horizontal="center" vertical="center" wrapText="1"/>
    </xf>
    <xf numFmtId="0" fontId="23" fillId="0" borderId="14" xfId="0" applyFont="1" applyBorder="1" applyAlignment="1">
      <alignment horizontal="left" vertical="center" wrapText="1"/>
    </xf>
    <xf numFmtId="0" fontId="19" fillId="0" borderId="14" xfId="0" applyFont="1" applyBorder="1" applyAlignment="1">
      <alignment horizontal="left" vertical="center" wrapText="1"/>
    </xf>
    <xf numFmtId="43" fontId="18" fillId="0" borderId="14" xfId="0" applyNumberFormat="1" applyFont="1" applyBorder="1" applyAlignment="1">
      <alignment horizontal="left" vertical="center" wrapText="1"/>
    </xf>
    <xf numFmtId="0" fontId="22" fillId="0" borderId="5" xfId="0" applyFont="1" applyBorder="1" applyAlignment="1">
      <alignment vertical="center" wrapText="1"/>
    </xf>
    <xf numFmtId="0" fontId="21" fillId="0" borderId="5" xfId="0" applyFont="1" applyBorder="1" applyAlignment="1">
      <alignment horizontal="left" vertical="center" wrapText="1"/>
    </xf>
    <xf numFmtId="0" fontId="19" fillId="10" borderId="16" xfId="0" applyNumberFormat="1" applyFont="1" applyFill="1" applyBorder="1" applyAlignment="1">
      <alignment horizontal="center" vertical="center" wrapText="1"/>
    </xf>
    <xf numFmtId="0" fontId="24" fillId="0" borderId="5" xfId="0" applyFont="1" applyBorder="1" applyAlignment="1">
      <alignment vertical="center" wrapText="1"/>
    </xf>
    <xf numFmtId="41" fontId="11" fillId="0" borderId="16" xfId="0" applyNumberFormat="1" applyFont="1" applyBorder="1" applyAlignment="1">
      <alignment horizontal="center" vertical="center" wrapText="1"/>
    </xf>
    <xf numFmtId="180" fontId="7" fillId="0" borderId="5" xfId="0" applyNumberFormat="1" applyFont="1" applyBorder="1" applyAlignment="1">
      <alignment horizontal="left" vertical="center" wrapText="1"/>
    </xf>
    <xf numFmtId="182" fontId="18" fillId="0" borderId="16" xfId="0" applyNumberFormat="1" applyFont="1" applyBorder="1" applyAlignment="1">
      <alignment horizontal="center" vertical="center" wrapText="1"/>
    </xf>
    <xf numFmtId="0" fontId="18" fillId="0" borderId="20" xfId="0" applyFont="1" applyBorder="1" applyAlignment="1">
      <alignment vertical="center"/>
    </xf>
    <xf numFmtId="43" fontId="18" fillId="0" borderId="19" xfId="0" applyNumberFormat="1" applyFont="1" applyBorder="1" applyAlignment="1">
      <alignment horizontal="center" vertical="center" wrapText="1"/>
    </xf>
    <xf numFmtId="0" fontId="18" fillId="0" borderId="20" xfId="0" applyFont="1" applyBorder="1" applyAlignment="1">
      <alignment horizontal="center" vertical="center" wrapText="1"/>
    </xf>
    <xf numFmtId="0" fontId="18" fillId="0" borderId="20" xfId="0" applyFont="1" applyBorder="1" applyAlignment="1">
      <alignment horizontal="left" vertical="center" wrapText="1"/>
    </xf>
    <xf numFmtId="0" fontId="21" fillId="0" borderId="20" xfId="0" applyFont="1" applyBorder="1" applyAlignment="1">
      <alignment vertical="center" wrapText="1"/>
    </xf>
    <xf numFmtId="179" fontId="18" fillId="0" borderId="20" xfId="0" applyNumberFormat="1" applyFont="1" applyBorder="1" applyAlignment="1">
      <alignment horizontal="center" vertical="center" wrapText="1"/>
    </xf>
    <xf numFmtId="10" fontId="18" fillId="0" borderId="20" xfId="0" applyNumberFormat="1" applyFont="1" applyBorder="1" applyAlignment="1">
      <alignment horizontal="center" vertical="center" wrapText="1"/>
    </xf>
    <xf numFmtId="9" fontId="18" fillId="0" borderId="20" xfId="0" applyNumberFormat="1" applyFont="1" applyBorder="1" applyAlignment="1">
      <alignment horizontal="center" vertical="center" wrapText="1"/>
    </xf>
    <xf numFmtId="14" fontId="18" fillId="0" borderId="20" xfId="0" applyNumberFormat="1" applyFont="1" applyBorder="1" applyAlignment="1">
      <alignment horizontal="center" vertical="center" wrapText="1"/>
    </xf>
    <xf numFmtId="4" fontId="18" fillId="0" borderId="20" xfId="0" applyNumberFormat="1" applyFont="1" applyBorder="1" applyAlignment="1">
      <alignment horizontal="center" vertical="center" wrapText="1"/>
    </xf>
    <xf numFmtId="43" fontId="18" fillId="0" borderId="21" xfId="0" applyNumberFormat="1" applyFont="1" applyBorder="1" applyAlignment="1">
      <alignment horizontal="left" vertical="center" wrapText="1"/>
    </xf>
    <xf numFmtId="43" fontId="18" fillId="0" borderId="22" xfId="0" applyNumberFormat="1" applyFont="1" applyBorder="1" applyAlignment="1">
      <alignment horizontal="center" vertical="center" wrapText="1"/>
    </xf>
    <xf numFmtId="0" fontId="18" fillId="0" borderId="22" xfId="0" applyFont="1" applyBorder="1" applyAlignment="1">
      <alignment horizontal="center" vertical="center" wrapText="1"/>
    </xf>
    <xf numFmtId="0" fontId="18" fillId="0" borderId="22" xfId="0" applyFont="1" applyBorder="1" applyAlignment="1">
      <alignment horizontal="left" vertical="center" wrapText="1"/>
    </xf>
    <xf numFmtId="0" fontId="18" fillId="0" borderId="22" xfId="0" applyNumberFormat="1" applyFont="1" applyBorder="1" applyAlignment="1">
      <alignment horizontal="left" vertical="center" wrapText="1"/>
    </xf>
    <xf numFmtId="0" fontId="18" fillId="12" borderId="20" xfId="0" applyFont="1" applyFill="1" applyBorder="1" applyAlignment="1">
      <alignment horizontal="left" vertical="center" wrapText="1"/>
    </xf>
    <xf numFmtId="180" fontId="18" fillId="0" borderId="20" xfId="0" applyNumberFormat="1" applyFont="1" applyBorder="1" applyAlignment="1">
      <alignment horizontal="center" vertical="center" wrapText="1"/>
    </xf>
    <xf numFmtId="43" fontId="18" fillId="0" borderId="20" xfId="0" applyNumberFormat="1" applyFont="1" applyBorder="1" applyAlignment="1">
      <alignment horizontal="left" vertical="center" wrapText="1"/>
    </xf>
    <xf numFmtId="181" fontId="18" fillId="0" borderId="20" xfId="0" applyNumberFormat="1" applyFont="1" applyBorder="1" applyAlignment="1">
      <alignment horizontal="center" vertical="center" wrapText="1"/>
    </xf>
    <xf numFmtId="43" fontId="18" fillId="0" borderId="20" xfId="0" applyNumberFormat="1" applyFont="1" applyBorder="1" applyAlignment="1">
      <alignment horizontal="center" vertical="center" wrapText="1"/>
    </xf>
    <xf numFmtId="0" fontId="18" fillId="0" borderId="11" xfId="0" applyFont="1" applyBorder="1" applyAlignment="1">
      <alignment vertical="center"/>
    </xf>
    <xf numFmtId="0" fontId="18" fillId="0" borderId="14" xfId="0" applyFont="1" applyBorder="1" applyAlignment="1">
      <alignment vertical="center" wrapText="1"/>
    </xf>
    <xf numFmtId="0" fontId="18" fillId="0" borderId="14" xfId="0" applyFont="1" applyBorder="1" applyAlignment="1">
      <alignment vertical="center"/>
    </xf>
    <xf numFmtId="0" fontId="18" fillId="0" borderId="14" xfId="0" applyFont="1" applyBorder="1" applyAlignment="1">
      <alignment horizontal="center" vertical="center"/>
    </xf>
    <xf numFmtId="0" fontId="25" fillId="0" borderId="14" xfId="0" applyFont="1" applyBorder="1" applyAlignment="1">
      <alignment horizontal="left" vertical="center" wrapText="1"/>
    </xf>
    <xf numFmtId="0" fontId="21" fillId="0" borderId="14" xfId="0" applyFont="1" applyBorder="1" applyAlignment="1">
      <alignment vertical="center" wrapText="1"/>
    </xf>
    <xf numFmtId="3" fontId="18" fillId="0" borderId="14" xfId="0" applyNumberFormat="1" applyFont="1" applyBorder="1" applyAlignment="1">
      <alignment horizontal="center" vertical="center"/>
    </xf>
    <xf numFmtId="10" fontId="18" fillId="0" borderId="14" xfId="0" applyNumberFormat="1" applyFont="1" applyBorder="1" applyAlignment="1">
      <alignment horizontal="center" vertical="center"/>
    </xf>
    <xf numFmtId="14" fontId="18" fillId="0" borderId="14" xfId="0" applyNumberFormat="1" applyFont="1" applyBorder="1" applyAlignment="1">
      <alignment horizontal="center" vertical="center"/>
    </xf>
    <xf numFmtId="0" fontId="18" fillId="0" borderId="0" xfId="0" applyFont="1" applyAlignment="1">
      <alignment horizontal="center" vertical="center" wrapText="1"/>
    </xf>
    <xf numFmtId="0" fontId="18" fillId="0" borderId="27" xfId="0" applyFont="1" applyBorder="1" applyAlignment="1">
      <alignment horizontal="center" vertical="center"/>
    </xf>
    <xf numFmtId="43" fontId="18" fillId="0" borderId="28" xfId="0" applyNumberFormat="1" applyFont="1" applyBorder="1" applyAlignment="1">
      <alignment horizontal="center" vertical="center"/>
    </xf>
    <xf numFmtId="0" fontId="18" fillId="0" borderId="28" xfId="0" applyFont="1" applyBorder="1" applyAlignment="1">
      <alignment horizontal="center" vertical="center"/>
    </xf>
    <xf numFmtId="0" fontId="18" fillId="0" borderId="28" xfId="0" applyNumberFormat="1" applyFont="1" applyBorder="1" applyAlignment="1">
      <alignment horizontal="center" vertical="center"/>
    </xf>
    <xf numFmtId="181" fontId="18" fillId="0" borderId="14" xfId="0" applyNumberFormat="1" applyFont="1" applyBorder="1" applyAlignment="1">
      <alignment horizontal="center" vertical="center"/>
    </xf>
    <xf numFmtId="0" fontId="18" fillId="0" borderId="17" xfId="0" applyFont="1" applyBorder="1" applyAlignment="1">
      <alignment vertical="center"/>
    </xf>
    <xf numFmtId="3" fontId="18" fillId="0" borderId="20" xfId="0" applyNumberFormat="1" applyFont="1" applyBorder="1" applyAlignment="1">
      <alignment horizontal="center" vertical="center" wrapText="1"/>
    </xf>
    <xf numFmtId="43" fontId="18" fillId="0" borderId="29" xfId="0" applyNumberFormat="1" applyFont="1" applyBorder="1" applyAlignment="1">
      <alignment horizontal="center" vertical="center" wrapText="1"/>
    </xf>
    <xf numFmtId="43" fontId="18" fillId="0" borderId="25" xfId="0" applyNumberFormat="1" applyFont="1" applyBorder="1" applyAlignment="1">
      <alignment horizontal="center" vertical="center" wrapText="1"/>
    </xf>
    <xf numFmtId="0" fontId="18" fillId="0" borderId="25" xfId="0" applyFont="1" applyBorder="1" applyAlignment="1">
      <alignment horizontal="center" vertical="center" wrapText="1"/>
    </xf>
    <xf numFmtId="0" fontId="18" fillId="0" borderId="25" xfId="0" applyNumberFormat="1" applyFont="1" applyBorder="1" applyAlignment="1">
      <alignment horizontal="center" vertical="center" wrapText="1"/>
    </xf>
    <xf numFmtId="43" fontId="18" fillId="0" borderId="12" xfId="0" applyNumberFormat="1" applyFont="1" applyBorder="1" applyAlignment="1">
      <alignment horizontal="center" vertical="center" wrapText="1"/>
    </xf>
    <xf numFmtId="0" fontId="18" fillId="0" borderId="13" xfId="0" applyFont="1" applyBorder="1" applyAlignment="1">
      <alignment horizontal="center" vertical="center" wrapText="1"/>
    </xf>
    <xf numFmtId="0" fontId="18" fillId="0" borderId="13" xfId="0" applyNumberFormat="1" applyFont="1" applyBorder="1" applyAlignment="1">
      <alignment horizontal="center" vertical="center" wrapText="1"/>
    </xf>
    <xf numFmtId="0" fontId="26" fillId="0" borderId="14" xfId="0" applyFont="1" applyBorder="1" applyAlignment="1">
      <alignment horizontal="left" vertical="center" wrapText="1"/>
    </xf>
    <xf numFmtId="0" fontId="7" fillId="0" borderId="0" xfId="0" applyFont="1" applyAlignment="1">
      <alignment vertical="center" wrapText="1"/>
    </xf>
    <xf numFmtId="3" fontId="3" fillId="0" borderId="0" xfId="0" applyNumberFormat="1" applyFont="1" applyAlignment="1">
      <alignment horizontal="center" vertical="center"/>
    </xf>
    <xf numFmtId="10" fontId="3" fillId="0" borderId="0" xfId="0" applyNumberFormat="1" applyFont="1" applyAlignment="1">
      <alignment horizontal="center" vertical="center"/>
    </xf>
    <xf numFmtId="180" fontId="3" fillId="0" borderId="0" xfId="0" applyNumberFormat="1" applyFont="1" applyAlignment="1">
      <alignment horizontal="center" vertical="center"/>
    </xf>
    <xf numFmtId="43" fontId="3" fillId="0" borderId="0" xfId="0" applyNumberFormat="1" applyFont="1" applyAlignment="1">
      <alignment horizontal="center" vertical="center"/>
    </xf>
    <xf numFmtId="0" fontId="3" fillId="0" borderId="0" xfId="0" applyNumberFormat="1" applyFont="1" applyAlignment="1">
      <alignment horizontal="center" vertical="center"/>
    </xf>
    <xf numFmtId="181" fontId="3" fillId="0" borderId="0" xfId="0" applyNumberFormat="1" applyFont="1" applyAlignment="1">
      <alignment horizontal="center" vertical="center"/>
    </xf>
    <xf numFmtId="0" fontId="27" fillId="7" borderId="5" xfId="0" applyFont="1" applyFill="1" applyBorder="1" applyAlignment="1">
      <alignment horizontal="center" vertical="center" wrapText="1"/>
    </xf>
    <xf numFmtId="0" fontId="27" fillId="22" borderId="6" xfId="0" applyFont="1" applyFill="1" applyBorder="1" applyAlignment="1">
      <alignment horizontal="center" vertical="top" wrapText="1"/>
    </xf>
    <xf numFmtId="0" fontId="27" fillId="22" borderId="30" xfId="0" applyFont="1" applyFill="1" applyBorder="1" applyAlignment="1">
      <alignment horizontal="center" vertical="top" wrapText="1"/>
    </xf>
    <xf numFmtId="0" fontId="27" fillId="12" borderId="5" xfId="0" applyFont="1" applyFill="1" applyBorder="1" applyAlignment="1">
      <alignment horizontal="center" vertical="top" wrapText="1"/>
    </xf>
    <xf numFmtId="0" fontId="27" fillId="13" borderId="5" xfId="0" applyFont="1" applyFill="1" applyBorder="1" applyAlignment="1">
      <alignment horizontal="center" vertical="top" wrapText="1"/>
    </xf>
    <xf numFmtId="0" fontId="9" fillId="23" borderId="20" xfId="0" applyFont="1" applyFill="1" applyBorder="1" applyAlignment="1">
      <alignment horizontal="center" vertical="center"/>
    </xf>
    <xf numFmtId="0" fontId="27" fillId="7" borderId="5" xfId="0" applyFont="1" applyFill="1" applyBorder="1" applyAlignment="1">
      <alignment horizontal="center" vertical="top" wrapText="1"/>
    </xf>
    <xf numFmtId="0" fontId="27" fillId="7" borderId="20" xfId="0" applyFont="1" applyFill="1" applyBorder="1" applyAlignment="1">
      <alignment horizontal="center" vertical="top" wrapText="1"/>
    </xf>
    <xf numFmtId="0" fontId="9" fillId="23" borderId="24" xfId="0" applyFont="1" applyFill="1" applyBorder="1" applyAlignment="1">
      <alignment horizontal="center" vertical="center"/>
    </xf>
    <xf numFmtId="0" fontId="28" fillId="0" borderId="5" xfId="0" applyFont="1" applyBorder="1" applyAlignment="1">
      <alignment horizontal="center" vertical="center" wrapText="1"/>
    </xf>
    <xf numFmtId="179" fontId="28" fillId="0" borderId="5" xfId="0" applyNumberFormat="1" applyFont="1" applyBorder="1" applyAlignment="1">
      <alignment horizontal="right" vertical="center" wrapText="1"/>
    </xf>
    <xf numFmtId="0" fontId="28" fillId="0" borderId="6" xfId="0" applyFont="1" applyBorder="1" applyAlignment="1">
      <alignment horizontal="center" vertical="center" wrapText="1"/>
    </xf>
    <xf numFmtId="179" fontId="28" fillId="0" borderId="5" xfId="0" applyNumberFormat="1" applyFont="1" applyBorder="1" applyAlignment="1">
      <alignment vertical="center" wrapText="1"/>
    </xf>
    <xf numFmtId="0" fontId="1" fillId="0" borderId="31" xfId="0" applyFont="1" applyBorder="1" applyAlignment="1">
      <alignment horizontal="left" vertical="center" wrapText="1"/>
    </xf>
    <xf numFmtId="179" fontId="28" fillId="0" borderId="5" xfId="0" applyNumberFormat="1" applyFont="1" applyBorder="1" applyAlignment="1">
      <alignment horizontal="center" vertical="center" wrapText="1"/>
    </xf>
    <xf numFmtId="0" fontId="1" fillId="0" borderId="31" xfId="0" applyFont="1" applyBorder="1" applyAlignment="1">
      <alignment vertical="center"/>
    </xf>
    <xf numFmtId="43" fontId="7" fillId="0" borderId="0" xfId="0" applyNumberFormat="1" applyFont="1" applyAlignment="1">
      <alignment horizontal="center" vertical="center" wrapText="1"/>
    </xf>
    <xf numFmtId="41" fontId="11" fillId="0" borderId="0" xfId="0" applyNumberFormat="1" applyFont="1" applyAlignment="1">
      <alignment horizontal="center" vertical="center" wrapText="1"/>
    </xf>
    <xf numFmtId="14" fontId="7" fillId="0" borderId="0" xfId="0" applyNumberFormat="1" applyFont="1" applyAlignment="1">
      <alignment horizontal="center" vertical="center" wrapText="1"/>
    </xf>
    <xf numFmtId="179" fontId="7" fillId="0" borderId="5" xfId="0" applyNumberFormat="1" applyFont="1" applyBorder="1" applyAlignment="1">
      <alignment vertical="center"/>
    </xf>
    <xf numFmtId="0" fontId="28" fillId="0" borderId="5" xfId="0" applyFont="1" applyBorder="1" applyAlignment="1">
      <alignment horizontal="right" vertical="center" wrapText="1"/>
    </xf>
    <xf numFmtId="3" fontId="28" fillId="0" borderId="5" xfId="0" applyNumberFormat="1" applyFont="1" applyBorder="1" applyAlignment="1">
      <alignment horizontal="center" vertical="center" wrapText="1"/>
    </xf>
    <xf numFmtId="4" fontId="28" fillId="0" borderId="5" xfId="0" applyNumberFormat="1" applyFont="1" applyBorder="1" applyAlignment="1">
      <alignment horizontal="center" vertical="center" wrapText="1"/>
    </xf>
    <xf numFmtId="0" fontId="1" fillId="0" borderId="31" xfId="0" applyFont="1" applyBorder="1" applyAlignment="1">
      <alignment vertical="center" wrapText="1"/>
    </xf>
    <xf numFmtId="0" fontId="28" fillId="7" borderId="5" xfId="0" applyFont="1" applyFill="1" applyBorder="1" applyAlignment="1">
      <alignment horizontal="center" vertical="center" wrapText="1"/>
    </xf>
    <xf numFmtId="179" fontId="28" fillId="7" borderId="5" xfId="0" applyNumberFormat="1" applyFont="1" applyFill="1" applyBorder="1" applyAlignment="1">
      <alignment horizontal="center" vertical="center" wrapText="1"/>
    </xf>
    <xf numFmtId="0" fontId="28" fillId="7" borderId="6" xfId="0" applyFont="1" applyFill="1" applyBorder="1" applyAlignment="1">
      <alignment horizontal="center" vertical="center" wrapText="1"/>
    </xf>
    <xf numFmtId="0" fontId="28" fillId="7" borderId="31" xfId="0" applyFont="1" applyFill="1" applyBorder="1" applyAlignment="1">
      <alignment horizontal="center" vertical="center" wrapText="1"/>
    </xf>
    <xf numFmtId="4" fontId="7" fillId="0" borderId="0" xfId="0" applyNumberFormat="1" applyFont="1" applyAlignment="1">
      <alignment horizontal="right" vertical="center" wrapText="1"/>
    </xf>
    <xf numFmtId="0" fontId="29" fillId="24" borderId="32" xfId="0" applyFont="1" applyFill="1" applyBorder="1" applyAlignment="1"/>
    <xf numFmtId="0" fontId="29" fillId="24" borderId="33" xfId="0" applyFont="1" applyFill="1" applyBorder="1" applyAlignment="1"/>
    <xf numFmtId="0" fontId="29" fillId="24" borderId="34" xfId="0" applyFont="1" applyFill="1" applyBorder="1" applyAlignment="1"/>
    <xf numFmtId="0" fontId="29" fillId="24" borderId="0" xfId="0" applyFont="1" applyFill="1" applyAlignment="1"/>
    <xf numFmtId="0" fontId="30" fillId="24" borderId="34" xfId="0" applyFont="1" applyFill="1" applyBorder="1" applyAlignment="1"/>
    <xf numFmtId="0" fontId="29" fillId="24" borderId="34" xfId="0" applyFont="1" applyFill="1" applyBorder="1" applyAlignment="1">
      <alignment horizontal="left" vertical="center"/>
    </xf>
    <xf numFmtId="0" fontId="29" fillId="24" borderId="0" xfId="0" applyFont="1" applyFill="1" applyAlignment="1">
      <alignment vertical="center"/>
    </xf>
    <xf numFmtId="0" fontId="29" fillId="24" borderId="34" xfId="0" applyFont="1" applyFill="1" applyBorder="1" applyAlignment="1">
      <alignment horizontal="left" vertical="center" wrapText="1"/>
    </xf>
    <xf numFmtId="0" fontId="30" fillId="24" borderId="0" xfId="0" applyFont="1" applyFill="1" applyAlignment="1">
      <alignment horizontal="left" vertical="center" wrapText="1"/>
    </xf>
    <xf numFmtId="0" fontId="29" fillId="24" borderId="34" xfId="0" applyFont="1" applyFill="1" applyBorder="1" applyAlignment="1">
      <alignment vertical="center"/>
    </xf>
    <xf numFmtId="0" fontId="3" fillId="24" borderId="35" xfId="0" applyFont="1" applyFill="1" applyBorder="1" applyAlignment="1"/>
    <xf numFmtId="0" fontId="3" fillId="0" borderId="5" xfId="0"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5" Type="http://schemas.openxmlformats.org/officeDocument/2006/relationships/image" Target="../media/image1.png"/><Relationship Id="rId4" Type="http://schemas.openxmlformats.org/officeDocument/2006/relationships/hyperlink" Target="https://crm.asiainfo.com/webapps/ai-crm-web/sca/approveView/javascript:;" TargetMode="External"/><Relationship Id="rId3" Type="http://schemas.openxmlformats.org/officeDocument/2006/relationships/hyperlink" Target="https://crm.asiainfo.com/webapps/ai-crm-web/saf/forecast/view/SAF250211608022904" TargetMode="External"/><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0"/>
  <sheetViews>
    <sheetView workbookViewId="0">
      <selection activeCell="B5" sqref="B5"/>
    </sheetView>
  </sheetViews>
  <sheetFormatPr defaultColWidth="14" defaultRowHeight="13" outlineLevelCol="4"/>
  <cols>
    <col min="1" max="20" width="10" customWidth="1"/>
  </cols>
  <sheetData>
    <row r="1" ht="16" customHeight="1" spans="1:5">
      <c r="A1" s="25" t="s">
        <v>0</v>
      </c>
    </row>
    <row r="2" ht="16" customHeight="1" spans="1:5">
      <c r="A2" s="542" t="s">
        <v>1</v>
      </c>
      <c r="B2" s="542" t="s">
        <v>2</v>
      </c>
      <c r="C2" s="542" t="s">
        <v>3</v>
      </c>
      <c r="D2" s="542" t="s">
        <v>4</v>
      </c>
    </row>
    <row r="3" ht="16" customHeight="1" spans="1:5">
      <c r="A3" s="542" t="s">
        <v>5</v>
      </c>
      <c r="B3" s="542">
        <v>2</v>
      </c>
      <c r="C3" s="542">
        <v>2</v>
      </c>
      <c r="D3" s="542"/>
    </row>
    <row r="4" ht="16" customHeight="1" spans="1:5">
      <c r="A4" s="542" t="s">
        <v>6</v>
      </c>
      <c r="B4" s="542">
        <v>2</v>
      </c>
      <c r="C4" s="542">
        <v>7</v>
      </c>
      <c r="D4" s="542"/>
    </row>
    <row r="5" ht="16" customHeight="1" spans="1:5">
      <c r="A5" s="542" t="s">
        <v>7</v>
      </c>
      <c r="B5" s="542">
        <v>1</v>
      </c>
      <c r="C5" s="542">
        <v>8</v>
      </c>
      <c r="D5" s="542">
        <v>2</v>
      </c>
      <c r="E5" s="25" t="s">
        <v>8</v>
      </c>
    </row>
    <row r="6" ht="16" customHeight="1" spans="1:5">
      <c r="A6" s="542" t="s">
        <v>9</v>
      </c>
      <c r="B6" s="542">
        <v>1</v>
      </c>
      <c r="C6" s="542"/>
      <c r="D6" s="542"/>
    </row>
    <row r="7" ht="16" customHeight="1" spans="1:5">
      <c r="A7" s="542" t="s">
        <v>10</v>
      </c>
      <c r="B7" s="542">
        <v>4</v>
      </c>
      <c r="C7" s="542"/>
      <c r="D7" s="542"/>
    </row>
    <row r="8" ht="16" customHeight="1" spans="1:5">
      <c r="A8" s="542" t="s">
        <v>11</v>
      </c>
      <c r="B8" s="542"/>
      <c r="C8" s="542"/>
      <c r="D8" s="542">
        <v>1</v>
      </c>
    </row>
    <row r="9" ht="16" customHeight="1" spans="1:5">
      <c r="A9" s="542" t="s">
        <v>12</v>
      </c>
      <c r="B9" s="542">
        <f>SUM(B3:B8)</f>
        <v>10</v>
      </c>
      <c r="C9" s="542">
        <f>SUM(C3:C8)</f>
        <v>17</v>
      </c>
      <c r="D9" s="542">
        <f>SUM(D3:D8)</f>
        <v>3</v>
      </c>
    </row>
    <row r="10" ht="16" customHeight="1"/>
    <row r="11" ht="16" customHeight="1"/>
    <row r="12" ht="16" customHeight="1"/>
    <row r="13" ht="16" customHeight="1"/>
    <row r="14" ht="16" customHeight="1"/>
    <row r="15" ht="16" customHeight="1"/>
    <row r="16" ht="16" customHeight="1"/>
    <row r="17" ht="16" customHeight="1"/>
    <row r="18" ht="16" customHeight="1"/>
    <row r="19" ht="16" customHeight="1"/>
    <row r="20" ht="16" customHeight="1"/>
  </sheetData>
  <pageMargins left="0.7" right="0.7" top="0.75" bottom="0.75" header="0.3" footer="0.3"/>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6"/>
  <sheetViews>
    <sheetView workbookViewId="0">
      <selection activeCell="A1" sqref="A1"/>
    </sheetView>
  </sheetViews>
  <sheetFormatPr defaultColWidth="14" defaultRowHeight="13"/>
  <cols>
    <col min="1" max="1" width="4" customWidth="1"/>
    <col min="2" max="2" width="5" customWidth="1"/>
    <col min="3" max="3" width="15" customWidth="1"/>
    <col min="4" max="18" width="10" customWidth="1"/>
    <col min="19" max="19" width="11" customWidth="1"/>
    <col min="20" max="20" width="10" customWidth="1"/>
  </cols>
  <sheetData>
    <row r="1" ht="17" customHeight="1"/>
    <row r="2" ht="18" customHeight="1" spans="1:20">
      <c r="C2" s="531"/>
      <c r="D2" s="532"/>
      <c r="E2" s="532"/>
      <c r="F2" s="532"/>
      <c r="G2" s="532"/>
      <c r="H2" s="532"/>
      <c r="I2" s="532"/>
      <c r="J2" s="532"/>
      <c r="K2" s="532"/>
      <c r="L2" s="532"/>
      <c r="M2" s="532"/>
      <c r="N2" s="532"/>
      <c r="O2" s="532"/>
      <c r="P2" s="532"/>
      <c r="Q2" s="532"/>
      <c r="R2" s="532"/>
      <c r="S2" s="532"/>
      <c r="T2" s="532"/>
    </row>
    <row r="3" ht="17" customHeight="1" spans="1:20">
      <c r="C3" s="533" t="s">
        <v>13</v>
      </c>
      <c r="D3" s="534"/>
      <c r="E3" s="534"/>
      <c r="F3" s="534"/>
      <c r="G3" s="534"/>
      <c r="H3" s="534"/>
      <c r="I3" s="534"/>
      <c r="J3" s="534"/>
      <c r="K3" s="534"/>
      <c r="L3" s="534"/>
      <c r="M3" s="534"/>
      <c r="N3" s="534"/>
      <c r="O3" s="534"/>
      <c r="P3" s="534"/>
      <c r="Q3" s="534"/>
      <c r="R3" s="534"/>
      <c r="S3" s="534"/>
      <c r="T3" s="534"/>
    </row>
    <row r="4" ht="17" customHeight="1" spans="1:20">
      <c r="C4" s="533" t="s">
        <v>14</v>
      </c>
      <c r="D4" s="534"/>
      <c r="E4" s="534"/>
      <c r="F4" s="534"/>
      <c r="G4" s="534"/>
      <c r="H4" s="534"/>
      <c r="I4" s="534"/>
      <c r="J4" s="534"/>
      <c r="K4" s="534"/>
      <c r="L4" s="534"/>
      <c r="M4" s="534"/>
      <c r="N4" s="534"/>
      <c r="O4" s="534"/>
      <c r="P4" s="534"/>
      <c r="Q4" s="534"/>
      <c r="R4" s="534"/>
      <c r="S4" s="534"/>
      <c r="T4" s="534"/>
    </row>
    <row r="5" ht="17" customHeight="1" spans="1:20">
      <c r="C5" s="533" t="s">
        <v>15</v>
      </c>
      <c r="D5" s="534"/>
      <c r="E5" s="534"/>
      <c r="F5" s="534"/>
      <c r="G5" s="534"/>
      <c r="H5" s="534"/>
      <c r="I5" s="534"/>
      <c r="J5" s="534"/>
      <c r="K5" s="534"/>
      <c r="L5" s="534"/>
      <c r="M5" s="534"/>
      <c r="N5" s="534"/>
      <c r="O5" s="534"/>
      <c r="P5" s="534"/>
      <c r="Q5" s="534"/>
      <c r="R5" s="534"/>
      <c r="S5" s="534"/>
      <c r="T5" s="534"/>
    </row>
    <row r="6" ht="17" customHeight="1" spans="1:20">
      <c r="C6" s="533" t="s">
        <v>16</v>
      </c>
      <c r="D6" s="534"/>
      <c r="E6" s="534"/>
      <c r="F6" s="534"/>
      <c r="G6" s="534"/>
      <c r="H6" s="534"/>
      <c r="I6" s="534"/>
      <c r="J6" s="534"/>
      <c r="K6" s="534"/>
      <c r="L6" s="534"/>
      <c r="M6" s="534"/>
      <c r="N6" s="534"/>
      <c r="O6" s="534"/>
      <c r="P6" s="534"/>
      <c r="Q6" s="534"/>
      <c r="R6" s="534"/>
      <c r="S6" s="534"/>
      <c r="T6" s="534"/>
    </row>
    <row r="7" ht="17" customHeight="1" spans="1:20">
      <c r="C7" s="533"/>
      <c r="D7" s="534"/>
      <c r="E7" s="534"/>
      <c r="F7" s="534"/>
      <c r="G7" s="534"/>
      <c r="H7" s="534"/>
      <c r="I7" s="534"/>
      <c r="J7" s="534"/>
      <c r="K7" s="534"/>
      <c r="L7" s="534"/>
      <c r="M7" s="534"/>
      <c r="N7" s="534"/>
      <c r="O7" s="534"/>
      <c r="P7" s="534"/>
      <c r="Q7" s="534"/>
      <c r="R7" s="534"/>
      <c r="S7" s="534"/>
      <c r="T7" s="534"/>
    </row>
    <row r="8" ht="17" customHeight="1" spans="1:20">
      <c r="C8" s="535" t="s">
        <v>17</v>
      </c>
      <c r="D8" s="534"/>
      <c r="E8" s="534"/>
      <c r="F8" s="534"/>
      <c r="G8" s="534"/>
      <c r="H8" s="534"/>
      <c r="I8" s="534"/>
      <c r="J8" s="534"/>
      <c r="K8" s="534"/>
      <c r="L8" s="534"/>
      <c r="M8" s="534"/>
      <c r="N8" s="534"/>
      <c r="O8" s="534"/>
      <c r="P8" s="534"/>
      <c r="Q8" s="534"/>
      <c r="R8" s="534"/>
      <c r="S8" s="534"/>
      <c r="T8" s="534"/>
    </row>
    <row r="9" ht="17" customHeight="1" spans="1:20">
      <c r="C9" s="535"/>
      <c r="D9" s="534"/>
      <c r="E9" s="534"/>
      <c r="F9" s="534"/>
      <c r="G9" s="534"/>
      <c r="H9" s="534"/>
      <c r="I9" s="534"/>
      <c r="J9" s="534"/>
      <c r="K9" s="534"/>
      <c r="L9" s="534"/>
      <c r="M9" s="534"/>
      <c r="N9" s="534"/>
      <c r="O9" s="534"/>
      <c r="P9" s="534"/>
      <c r="Q9" s="534"/>
      <c r="R9" s="534"/>
      <c r="S9" s="534"/>
      <c r="T9" s="534"/>
    </row>
    <row r="10" ht="26" customHeight="1" spans="1:20">
      <c r="C10" s="535" t="s">
        <v>18</v>
      </c>
      <c r="D10" s="534"/>
      <c r="E10" s="534"/>
      <c r="F10" s="534"/>
      <c r="G10" s="534"/>
      <c r="H10" s="534"/>
      <c r="I10" s="534"/>
      <c r="J10" s="534"/>
      <c r="K10" s="534"/>
      <c r="L10" s="534"/>
      <c r="M10" s="534"/>
      <c r="N10" s="534"/>
      <c r="O10" s="534"/>
      <c r="P10" s="534"/>
      <c r="Q10" s="534"/>
      <c r="R10" s="534"/>
      <c r="S10" s="534"/>
      <c r="T10" s="534"/>
    </row>
    <row r="11" ht="29" customHeight="1" spans="1:20">
      <c r="A11" s="25"/>
      <c r="B11" s="25"/>
      <c r="C11" s="536" t="s">
        <v>19</v>
      </c>
      <c r="D11" s="537"/>
      <c r="E11" s="537"/>
      <c r="F11" s="537"/>
      <c r="G11" s="537"/>
      <c r="H11" s="537"/>
      <c r="I11" s="537"/>
      <c r="J11" s="537"/>
      <c r="K11" s="537"/>
      <c r="L11" s="537"/>
      <c r="M11" s="537"/>
      <c r="N11" s="537"/>
      <c r="O11" s="537"/>
      <c r="P11" s="537"/>
      <c r="Q11" s="537"/>
      <c r="R11" s="537"/>
      <c r="S11" s="537"/>
      <c r="T11" s="537"/>
    </row>
    <row r="12" ht="28" customHeight="1" spans="1:20">
      <c r="C12" s="535" t="s">
        <v>20</v>
      </c>
      <c r="D12" s="534"/>
      <c r="E12" s="534"/>
      <c r="F12" s="534"/>
      <c r="G12" s="534"/>
      <c r="H12" s="534"/>
      <c r="I12" s="534"/>
      <c r="J12" s="534"/>
      <c r="K12" s="534"/>
      <c r="L12" s="534"/>
      <c r="M12" s="534"/>
      <c r="N12" s="534"/>
      <c r="O12" s="534"/>
      <c r="P12" s="534"/>
      <c r="Q12" s="534"/>
      <c r="R12" s="534"/>
      <c r="S12" s="534"/>
      <c r="T12" s="534"/>
    </row>
    <row r="13" ht="28" customHeight="1" spans="1:20">
      <c r="C13" s="535"/>
      <c r="D13" s="534"/>
      <c r="E13" s="534"/>
      <c r="F13" s="534"/>
      <c r="G13" s="534"/>
      <c r="H13" s="534"/>
      <c r="I13" s="534"/>
      <c r="J13" s="534"/>
      <c r="K13" s="534"/>
      <c r="L13" s="534"/>
      <c r="M13" s="534"/>
      <c r="N13" s="534"/>
      <c r="O13" s="534"/>
      <c r="P13" s="534"/>
      <c r="Q13" s="534"/>
      <c r="R13" s="534"/>
      <c r="S13" s="534"/>
      <c r="T13" s="534"/>
    </row>
    <row r="14" ht="106" customHeight="1" spans="1:20">
      <c r="A14" s="25"/>
      <c r="B14" s="25"/>
      <c r="C14" s="538" t="s">
        <v>21</v>
      </c>
      <c r="D14" s="539"/>
      <c r="E14" s="539"/>
      <c r="F14" s="539"/>
      <c r="G14" s="539"/>
      <c r="H14" s="539"/>
      <c r="I14" s="539"/>
      <c r="J14" s="539"/>
      <c r="K14" s="539"/>
      <c r="L14" s="539"/>
      <c r="M14" s="539"/>
      <c r="N14" s="539"/>
      <c r="O14" s="539"/>
      <c r="P14" s="539"/>
      <c r="Q14" s="539"/>
      <c r="R14" s="539"/>
      <c r="S14" s="539"/>
      <c r="T14" s="539"/>
    </row>
    <row r="15" ht="17" customHeight="1" spans="1:20">
      <c r="C15" s="535" t="s">
        <v>22</v>
      </c>
      <c r="D15" s="534"/>
      <c r="E15" s="534"/>
      <c r="F15" s="534"/>
      <c r="G15" s="534"/>
      <c r="H15" s="534"/>
      <c r="I15" s="534"/>
      <c r="J15" s="534"/>
      <c r="K15" s="534"/>
      <c r="L15" s="534"/>
      <c r="M15" s="534"/>
      <c r="N15" s="534"/>
      <c r="O15" s="534"/>
      <c r="P15" s="534"/>
      <c r="Q15" s="534"/>
      <c r="R15" s="534"/>
      <c r="S15" s="534"/>
      <c r="T15" s="534"/>
    </row>
    <row r="16" ht="17" customHeight="1" spans="1:20">
      <c r="C16" s="533" t="s">
        <v>23</v>
      </c>
      <c r="D16" s="534"/>
      <c r="E16" s="534"/>
      <c r="F16" s="534"/>
      <c r="G16" s="534"/>
      <c r="H16" s="534"/>
      <c r="I16" s="534"/>
      <c r="J16" s="534"/>
      <c r="K16" s="534"/>
      <c r="L16" s="534"/>
      <c r="M16" s="534"/>
      <c r="N16" s="534"/>
      <c r="O16" s="534"/>
      <c r="P16" s="534"/>
      <c r="Q16" s="534"/>
      <c r="R16" s="534"/>
      <c r="S16" s="534"/>
      <c r="T16" s="534"/>
    </row>
    <row r="17" ht="17" customHeight="1" spans="1:20">
      <c r="C17" s="533" t="s">
        <v>24</v>
      </c>
      <c r="D17" s="534"/>
      <c r="E17" s="534"/>
      <c r="F17" s="534"/>
      <c r="G17" s="534"/>
      <c r="H17" s="534"/>
      <c r="I17" s="534"/>
      <c r="J17" s="534"/>
      <c r="K17" s="534"/>
      <c r="L17" s="534"/>
      <c r="M17" s="534"/>
      <c r="N17" s="534"/>
      <c r="O17" s="534"/>
      <c r="P17" s="534"/>
      <c r="Q17" s="534"/>
      <c r="R17" s="534"/>
      <c r="S17" s="534"/>
      <c r="T17" s="534"/>
    </row>
    <row r="18" ht="17" customHeight="1" spans="1:20">
      <c r="C18" s="533" t="s">
        <v>25</v>
      </c>
      <c r="D18" s="534"/>
      <c r="E18" s="534"/>
      <c r="F18" s="534"/>
      <c r="G18" s="534"/>
      <c r="H18" s="534"/>
      <c r="I18" s="534"/>
      <c r="J18" s="534"/>
      <c r="K18" s="534"/>
      <c r="L18" s="534"/>
      <c r="M18" s="534"/>
      <c r="N18" s="534"/>
      <c r="O18" s="534"/>
      <c r="P18" s="534"/>
      <c r="Q18" s="534"/>
      <c r="R18" s="534"/>
      <c r="S18" s="534"/>
      <c r="T18" s="534"/>
    </row>
    <row r="19" ht="17" customHeight="1" spans="1:20">
      <c r="C19" s="533" t="s">
        <v>26</v>
      </c>
      <c r="D19" s="534"/>
      <c r="E19" s="534"/>
      <c r="F19" s="534"/>
      <c r="G19" s="534"/>
      <c r="H19" s="534"/>
      <c r="I19" s="534"/>
      <c r="J19" s="534"/>
      <c r="K19" s="534"/>
      <c r="L19" s="534"/>
      <c r="M19" s="534"/>
      <c r="N19" s="534"/>
      <c r="O19" s="534"/>
      <c r="P19" s="534"/>
      <c r="Q19" s="534"/>
      <c r="R19" s="534"/>
      <c r="S19" s="534"/>
      <c r="T19" s="534"/>
    </row>
    <row r="20" ht="28" customHeight="1" spans="1:20">
      <c r="C20" s="533" t="s">
        <v>27</v>
      </c>
      <c r="D20" s="534"/>
      <c r="E20" s="534"/>
      <c r="F20" s="534"/>
      <c r="G20" s="534"/>
      <c r="H20" s="534"/>
      <c r="I20" s="534"/>
      <c r="J20" s="534"/>
      <c r="K20" s="534"/>
      <c r="L20" s="534"/>
      <c r="M20" s="534"/>
      <c r="N20" s="534"/>
      <c r="O20" s="534"/>
      <c r="P20" s="534"/>
      <c r="Q20" s="534"/>
      <c r="R20" s="534"/>
      <c r="S20" s="534"/>
      <c r="T20" s="534"/>
    </row>
    <row r="21" ht="27" customHeight="1" spans="1:20">
      <c r="C21" s="540" t="s">
        <v>28</v>
      </c>
      <c r="D21" s="534"/>
      <c r="E21" s="534"/>
      <c r="F21" s="534"/>
      <c r="G21" s="534"/>
      <c r="H21" s="534"/>
      <c r="I21" s="534"/>
      <c r="J21" s="534"/>
      <c r="K21" s="534"/>
      <c r="L21" s="534"/>
      <c r="M21" s="534"/>
      <c r="N21" s="534"/>
      <c r="O21" s="534"/>
      <c r="P21" s="534"/>
      <c r="Q21" s="534"/>
      <c r="R21" s="534"/>
      <c r="S21" s="534"/>
      <c r="T21" s="534"/>
    </row>
    <row r="22" ht="17" customHeight="1" spans="1:20">
      <c r="C22" s="535" t="s">
        <v>29</v>
      </c>
      <c r="D22" s="534"/>
      <c r="E22" s="534"/>
      <c r="F22" s="534"/>
      <c r="G22" s="534"/>
      <c r="H22" s="534"/>
      <c r="I22" s="534"/>
      <c r="J22" s="534"/>
      <c r="K22" s="534"/>
      <c r="L22" s="534"/>
      <c r="M22" s="534"/>
      <c r="N22" s="534"/>
      <c r="O22" s="534"/>
      <c r="P22" s="534"/>
      <c r="Q22" s="534"/>
      <c r="R22" s="534"/>
      <c r="S22" s="534"/>
      <c r="T22" s="534"/>
    </row>
    <row r="23" ht="29" customHeight="1" spans="1:20">
      <c r="A23" s="25"/>
      <c r="B23" s="25"/>
      <c r="C23" s="536" t="s">
        <v>30</v>
      </c>
      <c r="D23" s="537"/>
      <c r="E23" s="537"/>
      <c r="F23" s="537"/>
      <c r="G23" s="537"/>
      <c r="H23" s="537"/>
      <c r="I23" s="537"/>
      <c r="J23" s="537"/>
      <c r="K23" s="537"/>
      <c r="L23" s="537"/>
      <c r="M23" s="537"/>
      <c r="N23" s="537"/>
      <c r="O23" s="537"/>
      <c r="P23" s="537"/>
      <c r="Q23" s="537"/>
      <c r="R23" s="537"/>
      <c r="S23" s="537"/>
      <c r="T23" s="537"/>
    </row>
    <row r="24" ht="17" customHeight="1" spans="1:20">
      <c r="C24" s="535" t="s">
        <v>31</v>
      </c>
      <c r="D24" s="534"/>
      <c r="E24" s="534"/>
      <c r="F24" s="534"/>
      <c r="G24" s="534"/>
      <c r="H24" s="534"/>
      <c r="I24" s="534"/>
      <c r="J24" s="534"/>
      <c r="K24" s="534"/>
      <c r="L24" s="534"/>
      <c r="M24" s="534"/>
      <c r="N24" s="534"/>
      <c r="O24" s="534"/>
      <c r="P24" s="534"/>
      <c r="Q24" s="534"/>
      <c r="R24" s="534"/>
      <c r="S24" s="534"/>
      <c r="T24" s="534"/>
    </row>
    <row r="25" ht="29" customHeight="1" spans="1:20">
      <c r="C25" s="536" t="s">
        <v>32</v>
      </c>
      <c r="D25" s="541"/>
      <c r="E25" s="541"/>
      <c r="F25" s="541"/>
      <c r="G25" s="541"/>
      <c r="H25" s="541"/>
      <c r="I25" s="541"/>
      <c r="J25" s="541"/>
      <c r="K25" s="541"/>
      <c r="L25" s="541"/>
      <c r="M25" s="541"/>
      <c r="N25" s="541"/>
      <c r="O25" s="541"/>
      <c r="P25" s="541"/>
      <c r="Q25" s="541"/>
      <c r="R25" s="541"/>
      <c r="S25" s="541"/>
      <c r="T25" s="541"/>
    </row>
    <row r="26" ht="13.75"/>
  </sheetData>
  <mergeCells count="1">
    <mergeCell ref="C14:T14"/>
  </mergeCell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B1:M20"/>
  <sheetViews>
    <sheetView workbookViewId="0">
      <selection activeCell="E8" sqref="E8:E14"/>
    </sheetView>
  </sheetViews>
  <sheetFormatPr defaultColWidth="14" defaultRowHeight="13"/>
  <cols>
    <col min="1" max="1" width="10" customWidth="1"/>
    <col min="2" max="2" width="7" customWidth="1"/>
    <col min="3" max="3" width="12" customWidth="1"/>
    <col min="4" max="4" width="9" customWidth="1"/>
    <col min="5" max="5" width="14" customWidth="1"/>
    <col min="6" max="6" width="6" customWidth="1"/>
    <col min="7" max="7" width="11" customWidth="1"/>
    <col min="8" max="8" width="9" customWidth="1"/>
    <col min="9" max="9" width="51" customWidth="1"/>
    <col min="10" max="10" width="14" customWidth="1"/>
    <col min="11" max="11" width="10" customWidth="1"/>
    <col min="12" max="13" width="14" customWidth="1"/>
    <col min="14" max="20" width="10" customWidth="1"/>
  </cols>
  <sheetData>
    <row r="1" ht="15" customHeight="1"/>
    <row r="2" ht="16" customHeight="1"/>
    <row r="3" ht="16" customHeight="1"/>
    <row r="4" ht="16" customHeight="1"/>
    <row r="5" ht="16" customHeight="1"/>
    <row r="6" ht="16" customHeight="1" spans="2:13">
      <c r="B6" s="502" t="s">
        <v>33</v>
      </c>
      <c r="C6" s="503" t="s">
        <v>34</v>
      </c>
      <c r="D6" s="504"/>
      <c r="E6" s="505" t="s">
        <v>35</v>
      </c>
      <c r="F6" s="505"/>
      <c r="G6" s="506" t="s">
        <v>36</v>
      </c>
      <c r="H6" s="506"/>
      <c r="I6" s="507" t="s">
        <v>37</v>
      </c>
    </row>
    <row r="7" ht="17" customHeight="1" spans="2:13">
      <c r="B7" s="502"/>
      <c r="C7" s="508" t="s">
        <v>38</v>
      </c>
      <c r="D7" s="508" t="s">
        <v>39</v>
      </c>
      <c r="E7" s="509" t="s">
        <v>40</v>
      </c>
      <c r="F7" s="509" t="s">
        <v>39</v>
      </c>
      <c r="G7" s="509" t="s">
        <v>38</v>
      </c>
      <c r="H7" s="509" t="s">
        <v>39</v>
      </c>
      <c r="I7" s="510"/>
    </row>
    <row r="8" ht="16" customHeight="1" spans="2:13">
      <c r="B8" s="511" t="s">
        <v>41</v>
      </c>
      <c r="C8" s="512">
        <v>49741211.375</v>
      </c>
      <c r="D8" s="513">
        <v>10</v>
      </c>
      <c r="E8" s="512">
        <v>13541000</v>
      </c>
      <c r="F8" s="512">
        <v>1</v>
      </c>
      <c r="G8" s="514"/>
      <c r="H8" s="514"/>
      <c r="I8" s="515" t="s">
        <v>42</v>
      </c>
    </row>
    <row r="9" ht="31" customHeight="1" spans="2:13">
      <c r="B9" s="511" t="s">
        <v>43</v>
      </c>
      <c r="C9" s="512">
        <v>307516549.24</v>
      </c>
      <c r="D9" s="513">
        <v>7</v>
      </c>
      <c r="E9" s="512">
        <v>89518428</v>
      </c>
      <c r="F9" s="512">
        <v>1</v>
      </c>
      <c r="G9" s="514">
        <v>0</v>
      </c>
      <c r="H9" s="514">
        <v>0</v>
      </c>
      <c r="I9" s="515" t="s">
        <v>44</v>
      </c>
    </row>
    <row r="10" ht="18" customHeight="1" spans="2:13">
      <c r="B10" s="511" t="s">
        <v>7</v>
      </c>
      <c r="C10" s="512">
        <v>16158920</v>
      </c>
      <c r="D10" s="513">
        <v>9</v>
      </c>
      <c r="E10" s="512">
        <v>77600</v>
      </c>
      <c r="F10" s="512">
        <v>1</v>
      </c>
      <c r="G10" s="516">
        <v>0</v>
      </c>
      <c r="H10" s="516">
        <v>0</v>
      </c>
      <c r="I10" s="517" t="s">
        <v>45</v>
      </c>
      <c r="L10" s="518"/>
      <c r="M10" s="519"/>
    </row>
    <row r="11" ht="18" customHeight="1" spans="2:13">
      <c r="B11" s="511" t="s">
        <v>9</v>
      </c>
      <c r="C11" s="512">
        <v>19995720.8</v>
      </c>
      <c r="D11" s="513">
        <v>8</v>
      </c>
      <c r="E11" s="512">
        <v>1487360</v>
      </c>
      <c r="F11" s="512">
        <v>2</v>
      </c>
      <c r="G11" s="516"/>
      <c r="H11" s="516"/>
      <c r="I11" s="517" t="s">
        <v>46</v>
      </c>
      <c r="L11" s="520"/>
      <c r="M11" s="519"/>
    </row>
    <row r="12" ht="71" customHeight="1" spans="2:13">
      <c r="B12" s="511" t="s">
        <v>47</v>
      </c>
      <c r="C12" s="512">
        <v>299348457</v>
      </c>
      <c r="D12" s="513">
        <v>14</v>
      </c>
      <c r="E12" s="521">
        <v>214568119.5</v>
      </c>
      <c r="F12" s="522">
        <v>6</v>
      </c>
      <c r="G12" s="523">
        <v>4420000</v>
      </c>
      <c r="H12" s="511">
        <v>1</v>
      </c>
      <c r="I12" s="515" t="s">
        <v>48</v>
      </c>
      <c r="L12" s="518"/>
      <c r="M12" s="519"/>
    </row>
    <row r="13" ht="16" customHeight="1" spans="2:13">
      <c r="B13" s="511" t="s">
        <v>49</v>
      </c>
      <c r="C13" s="512">
        <v>9297827.54</v>
      </c>
      <c r="D13" s="513">
        <v>2</v>
      </c>
      <c r="E13" s="512">
        <v>800000</v>
      </c>
      <c r="F13" s="522">
        <v>1</v>
      </c>
      <c r="G13" s="524" t="s">
        <v>50</v>
      </c>
      <c r="H13" s="511" t="s">
        <v>50</v>
      </c>
      <c r="I13" s="517" t="s">
        <v>51</v>
      </c>
    </row>
    <row r="14" ht="42" customHeight="1" spans="2:13">
      <c r="B14" s="511" t="s">
        <v>52</v>
      </c>
      <c r="C14" s="512">
        <v>40342609.18</v>
      </c>
      <c r="D14" s="513">
        <v>7</v>
      </c>
      <c r="E14" s="512">
        <v>0</v>
      </c>
      <c r="F14" s="522"/>
      <c r="G14" s="524"/>
      <c r="H14" s="511"/>
      <c r="I14" s="525" t="s">
        <v>53</v>
      </c>
    </row>
    <row r="15" ht="18" customHeight="1" spans="2:13">
      <c r="B15" s="526" t="s">
        <v>54</v>
      </c>
      <c r="C15" s="527">
        <f t="shared" ref="C15:H15" si="0">SUM(C8:C14)</f>
        <v>742401295.135</v>
      </c>
      <c r="D15" s="528">
        <f t="shared" si="0"/>
        <v>57</v>
      </c>
      <c r="E15" s="526">
        <f t="shared" si="0"/>
        <v>319992507.5</v>
      </c>
      <c r="F15" s="526">
        <f t="shared" si="0"/>
        <v>12</v>
      </c>
      <c r="G15" s="526">
        <f t="shared" si="0"/>
        <v>4420000</v>
      </c>
      <c r="H15" s="526">
        <f t="shared" si="0"/>
        <v>1</v>
      </c>
      <c r="I15" s="529"/>
      <c r="L15" s="530"/>
    </row>
    <row r="16" ht="18" customHeight="1" spans="2:13">
      <c r="L16" s="530"/>
    </row>
    <row r="17" ht="18" customHeight="1" spans="12:12">
      <c r="L17" s="530"/>
    </row>
    <row r="18" ht="18" customHeight="1" spans="12:12">
      <c r="L18" s="518"/>
    </row>
    <row r="19" ht="18" customHeight="1" spans="12:12">
      <c r="L19" s="518"/>
    </row>
    <row r="20" ht="16" customHeight="1"/>
  </sheetData>
  <mergeCells count="5">
    <mergeCell ref="C6:D6"/>
    <mergeCell ref="E6:F6"/>
    <mergeCell ref="G6:H6"/>
    <mergeCell ref="B6:B7"/>
    <mergeCell ref="I6:I7"/>
  </mergeCells>
  <pageMargins left="0.75" right="0.75" top="1" bottom="1" header="0.5" footer="0.5"/>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outlinePr summaryBelow="0" summaryRight="0"/>
  </sheetPr>
  <dimension ref="A1:AX527"/>
  <sheetViews>
    <sheetView showGridLines="0" tabSelected="1" zoomScale="80" zoomScaleNormal="80" workbookViewId="0">
      <pane xSplit="12" ySplit="2" topLeftCell="M3" activePane="bottomRight" state="frozen"/>
      <selection/>
      <selection pane="topRight"/>
      <selection pane="bottomLeft"/>
      <selection pane="bottomRight" activeCell="P12" sqref="P12"/>
    </sheetView>
  </sheetViews>
  <sheetFormatPr defaultColWidth="14" defaultRowHeight="13"/>
  <cols>
    <col min="1" max="1" width="1" customWidth="1"/>
    <col min="2" max="2" width="10" customWidth="1"/>
    <col min="3" max="3" width="12" hidden="1" customWidth="1"/>
    <col min="4" max="4" width="7" hidden="1" customWidth="1"/>
    <col min="5" max="5" width="9.18181818181818" customWidth="1"/>
    <col min="6" max="7" width="7" hidden="1" customWidth="1"/>
    <col min="8" max="8" width="17.6090909090909" customWidth="1" collapsed="1"/>
    <col min="9" max="9" width="16" hidden="1" customWidth="1" outlineLevel="1"/>
    <col min="10" max="10" width="15" hidden="1" customWidth="1" outlineLevel="1"/>
    <col min="11" max="11" width="21" customWidth="1"/>
    <col min="12" max="12" width="10" customWidth="1"/>
    <col min="13" max="13" width="35" style="68" customWidth="1"/>
    <col min="14" max="14" width="13" customWidth="1"/>
    <col min="15" max="15" width="12" customWidth="1"/>
    <col min="16" max="16" width="11" customWidth="1" collapsed="1"/>
    <col min="17" max="17" width="11" style="69" hidden="1" customWidth="1" outlineLevel="1"/>
    <col min="18" max="18" width="13" customWidth="1"/>
    <col min="19" max="19" width="15" style="70" customWidth="1"/>
    <col min="20" max="20" width="17" customWidth="1"/>
    <col min="21" max="21" width="21" customWidth="1"/>
    <col min="22" max="22" width="15" style="71" customWidth="1"/>
    <col min="23" max="23" width="13.6272727272727" style="71" customWidth="1"/>
    <col min="24" max="24" width="13" customWidth="1"/>
    <col min="25" max="25" width="11" customWidth="1"/>
    <col min="26" max="26" width="17" customWidth="1"/>
    <col min="27" max="27" width="24" customWidth="1"/>
    <col min="28" max="28" width="13" customWidth="1"/>
    <col min="29" max="29" width="10" customWidth="1"/>
    <col min="30" max="30" width="16" customWidth="1"/>
    <col min="31" max="31" width="13" customWidth="1"/>
    <col min="32" max="33" width="18" customWidth="1"/>
    <col min="34" max="34" width="21" customWidth="1"/>
    <col min="35" max="35" width="19.7909090909091" style="72" customWidth="1"/>
    <col min="36" max="36" width="24" customWidth="1"/>
    <col min="37" max="37" width="29" customWidth="1"/>
    <col min="38" max="38" width="21" customWidth="1"/>
    <col min="39" max="39" width="45" customWidth="1"/>
  </cols>
  <sheetData>
    <row r="1" ht="40" customHeight="1" spans="1:50">
      <c r="A1" s="73"/>
      <c r="B1" s="74" t="s">
        <v>55</v>
      </c>
      <c r="C1" s="75"/>
      <c r="D1" s="76"/>
      <c r="E1" s="77"/>
      <c r="F1" s="77"/>
      <c r="G1" s="77"/>
      <c r="H1" s="77"/>
      <c r="I1" s="77"/>
      <c r="J1" s="77"/>
      <c r="K1" s="77"/>
      <c r="L1" s="77"/>
      <c r="M1" s="77" t="s">
        <v>56</v>
      </c>
      <c r="N1" s="78"/>
      <c r="O1" s="79" t="s">
        <v>57</v>
      </c>
      <c r="P1" s="80"/>
      <c r="Q1" s="81"/>
      <c r="R1" s="81"/>
      <c r="S1" s="82"/>
      <c r="T1" s="76"/>
      <c r="U1" s="83" t="s">
        <v>58</v>
      </c>
      <c r="V1" s="75"/>
      <c r="W1" s="75"/>
      <c r="X1" s="77"/>
      <c r="Y1" s="77"/>
      <c r="Z1" s="84"/>
      <c r="AA1" s="85"/>
      <c r="AB1" s="77" t="s">
        <v>59</v>
      </c>
      <c r="AC1" s="86"/>
      <c r="AD1" s="76"/>
      <c r="AE1" s="76"/>
      <c r="AF1" s="87"/>
      <c r="AG1" s="75" t="s">
        <v>60</v>
      </c>
      <c r="AH1" s="75"/>
      <c r="AI1" s="88"/>
      <c r="AJ1" s="83"/>
      <c r="AK1" s="75" t="s">
        <v>61</v>
      </c>
      <c r="AL1" s="75"/>
      <c r="AM1" s="89"/>
      <c r="AU1" s="90"/>
    </row>
    <row r="2" ht="42" customHeight="1" spans="1:50">
      <c r="A2" s="73"/>
      <c r="B2" s="91" t="s">
        <v>62</v>
      </c>
      <c r="C2" s="91" t="s">
        <v>63</v>
      </c>
      <c r="D2" s="92" t="s">
        <v>64</v>
      </c>
      <c r="E2" s="92" t="s">
        <v>1</v>
      </c>
      <c r="F2" s="92" t="s">
        <v>65</v>
      </c>
      <c r="G2" s="92" t="s">
        <v>66</v>
      </c>
      <c r="H2" s="92" t="s">
        <v>67</v>
      </c>
      <c r="I2" s="93" t="s">
        <v>68</v>
      </c>
      <c r="J2" s="94" t="s">
        <v>69</v>
      </c>
      <c r="K2" s="92" t="s">
        <v>70</v>
      </c>
      <c r="L2" s="95" t="s">
        <v>71</v>
      </c>
      <c r="M2" s="96" t="s">
        <v>72</v>
      </c>
      <c r="N2" s="97" t="s">
        <v>73</v>
      </c>
      <c r="O2" s="98" t="s">
        <v>74</v>
      </c>
      <c r="P2" s="99" t="s">
        <v>75</v>
      </c>
      <c r="Q2" s="100" t="s">
        <v>76</v>
      </c>
      <c r="R2" s="101" t="s">
        <v>77</v>
      </c>
      <c r="S2" s="102" t="s">
        <v>78</v>
      </c>
      <c r="T2" s="101" t="s">
        <v>79</v>
      </c>
      <c r="U2" s="103" t="s">
        <v>80</v>
      </c>
      <c r="V2" s="103" t="s">
        <v>81</v>
      </c>
      <c r="W2" s="103" t="s">
        <v>40</v>
      </c>
      <c r="X2" s="104" t="s">
        <v>82</v>
      </c>
      <c r="Y2" s="104" t="s">
        <v>83</v>
      </c>
      <c r="Z2" s="105" t="s">
        <v>84</v>
      </c>
      <c r="AA2" s="106" t="s">
        <v>85</v>
      </c>
      <c r="AB2" s="107" t="s">
        <v>86</v>
      </c>
      <c r="AC2" s="107" t="s">
        <v>87</v>
      </c>
      <c r="AD2" s="108" t="s">
        <v>88</v>
      </c>
      <c r="AE2" s="107" t="s">
        <v>89</v>
      </c>
      <c r="AF2" s="106" t="s">
        <v>90</v>
      </c>
      <c r="AG2" s="109" t="s">
        <v>91</v>
      </c>
      <c r="AH2" s="110" t="s">
        <v>92</v>
      </c>
      <c r="AI2" s="111" t="s">
        <v>93</v>
      </c>
      <c r="AJ2" s="106" t="s">
        <v>94</v>
      </c>
      <c r="AK2" s="112" t="s">
        <v>95</v>
      </c>
      <c r="AL2" s="113" t="s">
        <v>96</v>
      </c>
      <c r="AM2" s="114" t="s">
        <v>97</v>
      </c>
    </row>
    <row r="3" ht="42" hidden="1" customHeight="1" spans="1:50">
      <c r="A3" s="115"/>
      <c r="B3" s="116" t="s">
        <v>98</v>
      </c>
      <c r="C3" s="117">
        <v>45972</v>
      </c>
      <c r="D3" s="61">
        <v>2</v>
      </c>
      <c r="E3" s="61" t="s">
        <v>47</v>
      </c>
      <c r="F3" s="61"/>
      <c r="G3" s="61" t="s">
        <v>99</v>
      </c>
      <c r="H3" s="73" t="s">
        <v>100</v>
      </c>
      <c r="I3" s="116" t="s">
        <v>101</v>
      </c>
      <c r="J3" s="117" t="s">
        <v>102</v>
      </c>
      <c r="K3" s="61" t="s">
        <v>103</v>
      </c>
      <c r="L3" s="61" t="s">
        <v>104</v>
      </c>
      <c r="M3" s="118" t="s">
        <v>105</v>
      </c>
      <c r="N3" s="116" t="s">
        <v>104</v>
      </c>
      <c r="O3" s="117" t="s">
        <v>106</v>
      </c>
      <c r="P3" s="119">
        <v>338400</v>
      </c>
      <c r="Q3" s="120">
        <v>0.0448</v>
      </c>
      <c r="R3" s="61" t="s">
        <v>107</v>
      </c>
      <c r="S3" s="121">
        <v>45086</v>
      </c>
      <c r="T3" s="61" t="s">
        <v>108</v>
      </c>
      <c r="U3" s="122" t="s">
        <v>109</v>
      </c>
      <c r="V3" s="123">
        <v>321480</v>
      </c>
      <c r="W3" s="123">
        <v>0</v>
      </c>
      <c r="X3" s="124"/>
      <c r="Y3" s="125"/>
      <c r="Z3" s="126"/>
      <c r="AA3" s="127"/>
      <c r="AB3" s="120" t="s">
        <v>110</v>
      </c>
      <c r="AC3" s="128"/>
      <c r="AD3" s="117"/>
      <c r="AE3" s="129"/>
      <c r="AF3" s="130" t="s">
        <v>111</v>
      </c>
      <c r="AG3" s="131" t="s">
        <v>112</v>
      </c>
      <c r="AH3" s="61" t="s">
        <v>113</v>
      </c>
      <c r="AI3" s="132">
        <f>198400+89600</f>
        <v>288000</v>
      </c>
      <c r="AJ3" s="133" t="s">
        <v>114</v>
      </c>
      <c r="AK3" s="134"/>
      <c r="AL3" s="135" t="s">
        <v>115</v>
      </c>
      <c r="AN3" s="136" t="s">
        <v>116</v>
      </c>
      <c r="AO3" s="137"/>
      <c r="AP3" s="138"/>
      <c r="AQ3" s="138"/>
      <c r="AR3" s="139"/>
      <c r="AS3" s="140"/>
      <c r="AT3" s="138"/>
      <c r="AU3" s="137"/>
      <c r="AV3" s="138"/>
      <c r="AW3" s="56"/>
      <c r="AX3" s="90"/>
    </row>
    <row r="4" ht="40" hidden="1" customHeight="1" spans="1:50">
      <c r="A4" s="141"/>
      <c r="B4" s="142" t="s">
        <v>117</v>
      </c>
      <c r="C4" s="116">
        <v>45516</v>
      </c>
      <c r="D4" s="117">
        <v>3</v>
      </c>
      <c r="E4" s="61" t="s">
        <v>47</v>
      </c>
      <c r="F4" s="61"/>
      <c r="G4" s="61" t="s">
        <v>118</v>
      </c>
      <c r="H4" s="61" t="s">
        <v>119</v>
      </c>
      <c r="I4" s="64" t="s">
        <v>120</v>
      </c>
      <c r="J4" s="61" t="s">
        <v>121</v>
      </c>
      <c r="K4" s="61" t="s">
        <v>103</v>
      </c>
      <c r="L4" s="61" t="s">
        <v>104</v>
      </c>
      <c r="M4" s="61" t="s">
        <v>122</v>
      </c>
      <c r="N4" s="118"/>
      <c r="O4" s="143"/>
      <c r="P4" s="143">
        <v>426000</v>
      </c>
      <c r="Q4" s="127">
        <v>0.107</v>
      </c>
      <c r="R4" s="120" t="s">
        <v>107</v>
      </c>
      <c r="S4" s="128">
        <v>45044</v>
      </c>
      <c r="T4" s="117" t="s">
        <v>123</v>
      </c>
      <c r="U4" s="144" t="s">
        <v>124</v>
      </c>
      <c r="V4" s="145">
        <v>426000</v>
      </c>
      <c r="W4" s="146" t="s">
        <v>125</v>
      </c>
      <c r="X4" s="147"/>
      <c r="Y4" s="147"/>
      <c r="Z4" s="148"/>
      <c r="AA4" s="134" t="s">
        <v>126</v>
      </c>
      <c r="AB4" s="64" t="s">
        <v>127</v>
      </c>
      <c r="AC4" s="149"/>
      <c r="AD4" s="150"/>
      <c r="AE4" s="150"/>
      <c r="AF4" s="151"/>
      <c r="AG4" s="130" t="s">
        <v>112</v>
      </c>
      <c r="AH4" s="130" t="s">
        <v>113</v>
      </c>
      <c r="AI4" s="130"/>
      <c r="AJ4" s="152" t="s">
        <v>128</v>
      </c>
      <c r="AK4" s="130"/>
      <c r="AL4" s="153"/>
      <c r="AM4" s="154" t="s">
        <v>129</v>
      </c>
      <c r="AN4" s="155"/>
      <c r="AP4" s="138"/>
      <c r="AQ4" s="138"/>
      <c r="AR4" s="139"/>
      <c r="AS4" s="140"/>
      <c r="AT4" s="138"/>
      <c r="AU4" s="90"/>
      <c r="AV4" s="138"/>
      <c r="AW4" s="56"/>
      <c r="AX4" s="90"/>
    </row>
    <row r="5" ht="42" hidden="1" customHeight="1" collapsed="1" spans="1:50">
      <c r="A5" s="141"/>
      <c r="B5" s="156" t="s">
        <v>117</v>
      </c>
      <c r="C5" s="157">
        <v>45516</v>
      </c>
      <c r="D5" s="158">
        <v>4</v>
      </c>
      <c r="E5" s="158" t="s">
        <v>47</v>
      </c>
      <c r="F5" s="158"/>
      <c r="G5" s="158" t="s">
        <v>130</v>
      </c>
      <c r="H5" s="159" t="s">
        <v>131</v>
      </c>
      <c r="I5" s="158" t="s">
        <v>132</v>
      </c>
      <c r="J5" s="158"/>
      <c r="K5" s="158" t="s">
        <v>133</v>
      </c>
      <c r="L5" s="158" t="s">
        <v>134</v>
      </c>
      <c r="M5" s="160" t="s">
        <v>135</v>
      </c>
      <c r="N5" s="161"/>
      <c r="O5" s="161"/>
      <c r="P5" s="156">
        <v>0</v>
      </c>
      <c r="Q5" s="162">
        <v>0.07</v>
      </c>
      <c r="R5" s="158" t="s">
        <v>107</v>
      </c>
      <c r="S5" s="157">
        <v>45035</v>
      </c>
      <c r="T5" s="158" t="s">
        <v>136</v>
      </c>
      <c r="U5" s="163" t="s">
        <v>125</v>
      </c>
      <c r="V5" s="164"/>
      <c r="W5" s="165"/>
      <c r="X5" s="165"/>
      <c r="Y5" s="165"/>
      <c r="Z5" s="166"/>
      <c r="AA5" s="159" t="s">
        <v>137</v>
      </c>
      <c r="AB5" s="158"/>
      <c r="AC5" s="156"/>
      <c r="AD5" s="156"/>
      <c r="AE5" s="156"/>
      <c r="AF5" s="160" t="s">
        <v>137</v>
      </c>
      <c r="AG5" s="167" t="s">
        <v>112</v>
      </c>
      <c r="AH5" s="160" t="s">
        <v>138</v>
      </c>
      <c r="AI5" s="156"/>
      <c r="AJ5" s="160"/>
      <c r="AK5" s="159"/>
      <c r="AL5" s="168"/>
      <c r="AM5" s="169" t="s">
        <v>139</v>
      </c>
    </row>
    <row r="6" ht="24" hidden="1" customHeight="1" outlineLevel="1" spans="1:50">
      <c r="A6" s="141"/>
      <c r="B6" s="156" t="s">
        <v>117</v>
      </c>
      <c r="C6" s="157">
        <v>45516</v>
      </c>
      <c r="D6" s="158">
        <v>4</v>
      </c>
      <c r="E6" s="158" t="s">
        <v>47</v>
      </c>
      <c r="F6" s="158"/>
      <c r="G6" s="158" t="s">
        <v>130</v>
      </c>
      <c r="H6" s="159" t="s">
        <v>140</v>
      </c>
      <c r="I6" s="156">
        <v>0</v>
      </c>
      <c r="J6" s="156">
        <v>0</v>
      </c>
      <c r="K6" s="156">
        <v>0</v>
      </c>
      <c r="L6" s="158" t="s">
        <v>134</v>
      </c>
      <c r="M6" s="160" t="s">
        <v>141</v>
      </c>
      <c r="N6" s="161"/>
      <c r="O6" s="161"/>
      <c r="P6" s="156">
        <v>7001640</v>
      </c>
      <c r="Q6" s="162">
        <v>0.07</v>
      </c>
      <c r="R6" s="158" t="s">
        <v>107</v>
      </c>
      <c r="S6" s="157">
        <v>45035</v>
      </c>
      <c r="T6" s="158" t="s">
        <v>142</v>
      </c>
      <c r="U6" s="170" t="s">
        <v>143</v>
      </c>
      <c r="V6" s="164">
        <v>7001640</v>
      </c>
      <c r="W6" s="165" t="s">
        <v>125</v>
      </c>
      <c r="X6" s="165"/>
      <c r="Y6" s="165"/>
      <c r="Z6" s="166"/>
      <c r="AA6" s="159" t="s">
        <v>126</v>
      </c>
      <c r="AB6" s="158" t="s">
        <v>127</v>
      </c>
      <c r="AC6" s="156"/>
      <c r="AD6" s="156"/>
      <c r="AE6" s="156"/>
      <c r="AF6" s="160">
        <v>0</v>
      </c>
      <c r="AG6" s="167" t="s">
        <v>112</v>
      </c>
      <c r="AH6" s="160"/>
      <c r="AI6" s="156"/>
      <c r="AJ6" s="160"/>
      <c r="AK6" s="160"/>
      <c r="AL6" s="168"/>
      <c r="AM6" s="169" t="s">
        <v>144</v>
      </c>
    </row>
    <row r="7" ht="24" hidden="1" customHeight="1" outlineLevel="1" spans="1:50">
      <c r="A7" s="141"/>
      <c r="B7" s="156" t="s">
        <v>117</v>
      </c>
      <c r="C7" s="157">
        <v>45516</v>
      </c>
      <c r="D7" s="158">
        <v>4</v>
      </c>
      <c r="E7" s="158" t="s">
        <v>47</v>
      </c>
      <c r="F7" s="158"/>
      <c r="G7" s="158" t="s">
        <v>130</v>
      </c>
      <c r="H7" s="159" t="s">
        <v>145</v>
      </c>
      <c r="I7" s="156">
        <v>0</v>
      </c>
      <c r="J7" s="156">
        <v>0</v>
      </c>
      <c r="K7" s="156">
        <v>0</v>
      </c>
      <c r="L7" s="158" t="s">
        <v>134</v>
      </c>
      <c r="M7" s="160" t="s">
        <v>141</v>
      </c>
      <c r="N7" s="161"/>
      <c r="O7" s="161"/>
      <c r="P7" s="156">
        <v>6285510</v>
      </c>
      <c r="Q7" s="162">
        <v>0.07</v>
      </c>
      <c r="R7" s="158" t="s">
        <v>107</v>
      </c>
      <c r="S7" s="157">
        <v>45035</v>
      </c>
      <c r="T7" s="158" t="s">
        <v>146</v>
      </c>
      <c r="U7" s="170" t="s">
        <v>143</v>
      </c>
      <c r="V7" s="164">
        <v>6285510</v>
      </c>
      <c r="W7" s="165" t="s">
        <v>125</v>
      </c>
      <c r="X7" s="165"/>
      <c r="Y7" s="165"/>
      <c r="Z7" s="166"/>
      <c r="AA7" s="159" t="s">
        <v>126</v>
      </c>
      <c r="AB7" s="158" t="s">
        <v>127</v>
      </c>
      <c r="AC7" s="156"/>
      <c r="AD7" s="156"/>
      <c r="AE7" s="156"/>
      <c r="AF7" s="160">
        <v>0</v>
      </c>
      <c r="AG7" s="167" t="s">
        <v>112</v>
      </c>
      <c r="AH7" s="160"/>
      <c r="AI7" s="156"/>
      <c r="AJ7" s="160"/>
      <c r="AK7" s="160"/>
      <c r="AL7" s="168"/>
      <c r="AM7" s="169" t="s">
        <v>144</v>
      </c>
    </row>
    <row r="8" ht="24" hidden="1" customHeight="1" outlineLevel="1" spans="1:50">
      <c r="A8" s="141"/>
      <c r="B8" s="156" t="s">
        <v>117</v>
      </c>
      <c r="C8" s="157">
        <v>45516</v>
      </c>
      <c r="D8" s="158">
        <v>4</v>
      </c>
      <c r="E8" s="158" t="s">
        <v>47</v>
      </c>
      <c r="F8" s="158"/>
      <c r="G8" s="158" t="s">
        <v>130</v>
      </c>
      <c r="H8" s="159" t="s">
        <v>147</v>
      </c>
      <c r="I8" s="171">
        <v>0</v>
      </c>
      <c r="J8" s="156">
        <v>0</v>
      </c>
      <c r="K8" s="156">
        <v>0</v>
      </c>
      <c r="L8" s="158" t="s">
        <v>134</v>
      </c>
      <c r="M8" s="160" t="s">
        <v>141</v>
      </c>
      <c r="N8" s="161"/>
      <c r="O8" s="161"/>
      <c r="P8" s="156">
        <v>5670225</v>
      </c>
      <c r="Q8" s="162">
        <v>0.07</v>
      </c>
      <c r="R8" s="158" t="s">
        <v>107</v>
      </c>
      <c r="S8" s="157">
        <v>45035</v>
      </c>
      <c r="T8" s="158" t="s">
        <v>148</v>
      </c>
      <c r="U8" s="170" t="s">
        <v>143</v>
      </c>
      <c r="V8" s="165">
        <v>5670225</v>
      </c>
      <c r="W8" s="165" t="s">
        <v>125</v>
      </c>
      <c r="X8" s="165"/>
      <c r="Y8" s="165" t="s">
        <v>149</v>
      </c>
      <c r="Z8" s="166"/>
      <c r="AA8" s="159" t="s">
        <v>126</v>
      </c>
      <c r="AB8" s="158" t="s">
        <v>127</v>
      </c>
      <c r="AC8" s="172"/>
      <c r="AD8" s="172"/>
      <c r="AE8" s="172"/>
      <c r="AF8" s="173">
        <v>0</v>
      </c>
      <c r="AG8" s="167" t="s">
        <v>112</v>
      </c>
      <c r="AH8" s="160"/>
      <c r="AI8" s="156"/>
      <c r="AJ8" s="160"/>
      <c r="AK8" s="160"/>
      <c r="AL8" s="168"/>
      <c r="AM8" s="169" t="s">
        <v>150</v>
      </c>
    </row>
    <row r="9" ht="42" hidden="1" customHeight="1" spans="1:50">
      <c r="A9" s="141"/>
      <c r="B9" s="172" t="s">
        <v>117</v>
      </c>
      <c r="C9" s="157">
        <v>45516</v>
      </c>
      <c r="D9" s="174">
        <v>5</v>
      </c>
      <c r="E9" s="174" t="s">
        <v>47</v>
      </c>
      <c r="F9" s="174"/>
      <c r="G9" s="174" t="s">
        <v>130</v>
      </c>
      <c r="H9" s="175" t="s">
        <v>151</v>
      </c>
      <c r="I9" s="158" t="s">
        <v>132</v>
      </c>
      <c r="J9" s="158"/>
      <c r="K9" s="158" t="s">
        <v>133</v>
      </c>
      <c r="L9" s="158" t="s">
        <v>134</v>
      </c>
      <c r="M9" s="173" t="s">
        <v>135</v>
      </c>
      <c r="N9" s="161"/>
      <c r="O9" s="161"/>
      <c r="P9" s="156">
        <v>0</v>
      </c>
      <c r="Q9" s="162">
        <v>0.07</v>
      </c>
      <c r="R9" s="174" t="s">
        <v>107</v>
      </c>
      <c r="S9" s="176">
        <v>45260</v>
      </c>
      <c r="T9" s="174" t="s">
        <v>152</v>
      </c>
      <c r="U9" s="177" t="s">
        <v>125</v>
      </c>
      <c r="V9" s="178"/>
      <c r="W9" s="178"/>
      <c r="X9" s="179"/>
      <c r="Y9" s="179"/>
      <c r="Z9" s="180"/>
      <c r="AA9" s="175" t="s">
        <v>137</v>
      </c>
      <c r="AB9" s="174"/>
      <c r="AC9" s="141"/>
      <c r="AD9" s="141"/>
      <c r="AE9" s="141"/>
      <c r="AF9" s="141"/>
      <c r="AG9" s="141"/>
      <c r="AH9" s="173"/>
      <c r="AI9" s="172"/>
      <c r="AJ9" s="173"/>
      <c r="AK9" s="175"/>
      <c r="AL9" s="181"/>
      <c r="AM9" s="169" t="s">
        <v>153</v>
      </c>
    </row>
    <row r="10" ht="22" customHeight="1" outlineLevel="1" spans="1:50">
      <c r="A10" s="115"/>
      <c r="B10" s="116" t="s">
        <v>98</v>
      </c>
      <c r="C10" s="117">
        <v>45972</v>
      </c>
      <c r="D10" s="61">
        <v>5</v>
      </c>
      <c r="E10" s="61" t="s">
        <v>47</v>
      </c>
      <c r="F10" s="142"/>
      <c r="G10" s="142" t="s">
        <v>130</v>
      </c>
      <c r="H10" s="116" t="s">
        <v>154</v>
      </c>
      <c r="I10" s="117" t="s">
        <v>132</v>
      </c>
      <c r="J10" s="61">
        <v>0</v>
      </c>
      <c r="K10" s="61" t="s">
        <v>133</v>
      </c>
      <c r="L10" s="61" t="s">
        <v>134</v>
      </c>
      <c r="M10" s="182" t="s">
        <v>155</v>
      </c>
      <c r="N10" s="61" t="s">
        <v>156</v>
      </c>
      <c r="O10" s="61" t="s">
        <v>157</v>
      </c>
      <c r="P10" s="119">
        <v>5271025</v>
      </c>
      <c r="Q10" s="120">
        <v>0.07</v>
      </c>
      <c r="R10" s="61" t="s">
        <v>107</v>
      </c>
      <c r="S10" s="183">
        <v>45077</v>
      </c>
      <c r="T10" s="143" t="s">
        <v>158</v>
      </c>
      <c r="U10" s="184" t="s">
        <v>159</v>
      </c>
      <c r="V10" s="123">
        <v>4436728</v>
      </c>
      <c r="W10" s="123">
        <v>834297</v>
      </c>
      <c r="X10" s="185" t="s">
        <v>160</v>
      </c>
      <c r="Y10" s="186" t="s">
        <v>161</v>
      </c>
      <c r="Z10" s="187">
        <v>202705</v>
      </c>
      <c r="AA10" s="131" t="s">
        <v>162</v>
      </c>
      <c r="AB10" s="61" t="s">
        <v>127</v>
      </c>
      <c r="AC10" s="61"/>
      <c r="AD10" s="134"/>
      <c r="AE10" s="134"/>
      <c r="AF10" s="64">
        <v>0</v>
      </c>
      <c r="AG10" s="149" t="s">
        <v>112</v>
      </c>
      <c r="AH10" s="117" t="s">
        <v>163</v>
      </c>
      <c r="AI10" s="132">
        <v>4902053.25</v>
      </c>
      <c r="AJ10" s="128" t="s">
        <v>164</v>
      </c>
      <c r="AK10" s="130"/>
      <c r="AL10" s="153" t="s">
        <v>153</v>
      </c>
      <c r="AM10" s="188" t="s">
        <v>165</v>
      </c>
      <c r="AN10" s="56"/>
      <c r="AO10" s="138"/>
      <c r="AP10" s="90"/>
      <c r="AS10" s="138"/>
      <c r="AU10" s="139"/>
    </row>
    <row r="11" ht="23" customHeight="1" outlineLevel="1" spans="1:50">
      <c r="A11" s="115"/>
      <c r="B11" s="116" t="s">
        <v>98</v>
      </c>
      <c r="C11" s="117">
        <v>45972</v>
      </c>
      <c r="D11" s="61"/>
      <c r="E11" s="61"/>
      <c r="F11" s="142"/>
      <c r="G11" s="142"/>
      <c r="H11" s="116" t="s">
        <v>166</v>
      </c>
      <c r="I11" s="117" t="s">
        <v>132</v>
      </c>
      <c r="J11" s="61">
        <v>0</v>
      </c>
      <c r="K11" s="61" t="s">
        <v>133</v>
      </c>
      <c r="L11" s="61" t="s">
        <v>134</v>
      </c>
      <c r="M11" s="64"/>
      <c r="N11" s="61"/>
      <c r="O11" s="61" t="s">
        <v>157</v>
      </c>
      <c r="P11" s="119">
        <v>5010522</v>
      </c>
      <c r="Q11" s="120">
        <v>0.07</v>
      </c>
      <c r="R11" s="61" t="s">
        <v>107</v>
      </c>
      <c r="S11" s="183">
        <v>45086</v>
      </c>
      <c r="T11" s="143" t="s">
        <v>167</v>
      </c>
      <c r="U11" s="189" t="s">
        <v>159</v>
      </c>
      <c r="V11" s="190">
        <v>0</v>
      </c>
      <c r="W11" s="190">
        <v>5010522</v>
      </c>
      <c r="X11" s="191" t="s">
        <v>160</v>
      </c>
      <c r="Y11" s="192" t="s">
        <v>168</v>
      </c>
      <c r="Z11" s="193">
        <v>202712</v>
      </c>
      <c r="AA11" s="131" t="s">
        <v>169</v>
      </c>
      <c r="AB11" s="61" t="s">
        <v>127</v>
      </c>
      <c r="AC11" s="61"/>
      <c r="AD11" s="134"/>
      <c r="AE11" s="134"/>
      <c r="AF11" s="64">
        <v>0</v>
      </c>
      <c r="AG11" s="149" t="s">
        <v>112</v>
      </c>
      <c r="AH11" s="117" t="s">
        <v>163</v>
      </c>
      <c r="AI11" s="132">
        <v>4659785.46</v>
      </c>
      <c r="AJ11" s="128" t="s">
        <v>164</v>
      </c>
      <c r="AK11" s="130"/>
      <c r="AL11" s="153" t="s">
        <v>153</v>
      </c>
      <c r="AM11" s="188"/>
      <c r="AN11" s="56"/>
      <c r="AO11" s="138"/>
      <c r="AP11" s="90"/>
      <c r="AS11" s="138"/>
      <c r="AU11" s="139"/>
    </row>
    <row r="12" ht="26" customHeight="1" outlineLevel="1" spans="1:50">
      <c r="A12" s="115"/>
      <c r="B12" s="116" t="s">
        <v>98</v>
      </c>
      <c r="C12" s="117">
        <v>45972</v>
      </c>
      <c r="D12" s="61"/>
      <c r="E12" s="61"/>
      <c r="F12" s="142"/>
      <c r="G12" s="142"/>
      <c r="H12" s="116" t="s">
        <v>170</v>
      </c>
      <c r="I12" s="117" t="s">
        <v>132</v>
      </c>
      <c r="J12" s="61">
        <v>0</v>
      </c>
      <c r="K12" s="61" t="s">
        <v>133</v>
      </c>
      <c r="L12" s="61" t="s">
        <v>134</v>
      </c>
      <c r="M12" s="64"/>
      <c r="N12" s="61"/>
      <c r="O12" s="61" t="s">
        <v>157</v>
      </c>
      <c r="P12" s="119">
        <v>4931579</v>
      </c>
      <c r="Q12" s="120">
        <v>0.07</v>
      </c>
      <c r="R12" s="61" t="s">
        <v>107</v>
      </c>
      <c r="S12" s="183">
        <v>45118</v>
      </c>
      <c r="T12" s="143" t="s">
        <v>171</v>
      </c>
      <c r="U12" s="189" t="s">
        <v>159</v>
      </c>
      <c r="V12" s="190">
        <v>0</v>
      </c>
      <c r="W12" s="190">
        <v>4931579</v>
      </c>
      <c r="X12" s="191" t="s">
        <v>160</v>
      </c>
      <c r="Y12" s="192" t="s">
        <v>172</v>
      </c>
      <c r="Z12" s="193">
        <v>202706</v>
      </c>
      <c r="AA12" s="131" t="s">
        <v>169</v>
      </c>
      <c r="AB12" s="61" t="s">
        <v>127</v>
      </c>
      <c r="AC12" s="61"/>
      <c r="AD12" s="134"/>
      <c r="AE12" s="134"/>
      <c r="AF12" s="64">
        <v>0</v>
      </c>
      <c r="AG12" s="149" t="s">
        <v>112</v>
      </c>
      <c r="AH12" s="117" t="s">
        <v>163</v>
      </c>
      <c r="AI12" s="132">
        <v>4586368.47</v>
      </c>
      <c r="AJ12" s="128" t="s">
        <v>164</v>
      </c>
      <c r="AK12" s="130"/>
      <c r="AL12" s="153" t="s">
        <v>153</v>
      </c>
      <c r="AM12" s="188"/>
      <c r="AN12" s="56"/>
      <c r="AO12" s="138"/>
      <c r="AP12" s="90"/>
      <c r="AS12" s="138"/>
      <c r="AU12" s="139"/>
    </row>
    <row r="13" ht="40" customHeight="1" outlineLevel="1" spans="1:50">
      <c r="A13" s="115"/>
      <c r="B13" s="116" t="s">
        <v>98</v>
      </c>
      <c r="C13" s="117">
        <v>45972</v>
      </c>
      <c r="D13" s="61"/>
      <c r="E13" s="61"/>
      <c r="F13" s="142"/>
      <c r="G13" s="142"/>
      <c r="H13" s="116" t="s">
        <v>173</v>
      </c>
      <c r="I13" s="117" t="s">
        <v>132</v>
      </c>
      <c r="J13" s="61">
        <v>0</v>
      </c>
      <c r="K13" s="61" t="s">
        <v>133</v>
      </c>
      <c r="L13" s="61" t="s">
        <v>134</v>
      </c>
      <c r="M13" s="64"/>
      <c r="N13" s="61"/>
      <c r="O13" s="61" t="s">
        <v>157</v>
      </c>
      <c r="P13" s="119">
        <v>5217046.5</v>
      </c>
      <c r="Q13" s="120">
        <v>0.07</v>
      </c>
      <c r="R13" s="61" t="s">
        <v>107</v>
      </c>
      <c r="S13" s="183">
        <v>45146</v>
      </c>
      <c r="T13" s="143" t="s">
        <v>174</v>
      </c>
      <c r="U13" s="189" t="s">
        <v>159</v>
      </c>
      <c r="V13" s="190">
        <v>0</v>
      </c>
      <c r="W13" s="190">
        <v>5217046.5</v>
      </c>
      <c r="X13" s="191" t="s">
        <v>160</v>
      </c>
      <c r="Y13" s="192" t="s">
        <v>175</v>
      </c>
      <c r="Z13" s="193">
        <v>202712</v>
      </c>
      <c r="AA13" s="131" t="s">
        <v>169</v>
      </c>
      <c r="AB13" s="61" t="s">
        <v>127</v>
      </c>
      <c r="AC13" s="61"/>
      <c r="AD13" s="134"/>
      <c r="AE13" s="134"/>
      <c r="AF13" s="64">
        <v>0</v>
      </c>
      <c r="AG13" s="149" t="s">
        <v>112</v>
      </c>
      <c r="AH13" s="117" t="s">
        <v>163</v>
      </c>
      <c r="AI13" s="132">
        <v>4851853.25</v>
      </c>
      <c r="AJ13" s="128" t="s">
        <v>164</v>
      </c>
      <c r="AK13" s="130"/>
      <c r="AL13" s="153" t="s">
        <v>153</v>
      </c>
      <c r="AM13" s="188"/>
      <c r="AN13" s="56"/>
      <c r="AO13" s="138"/>
      <c r="AP13" s="90"/>
      <c r="AS13" s="138"/>
      <c r="AU13" s="139"/>
    </row>
    <row r="14" ht="25" customHeight="1" outlineLevel="1" spans="1:50">
      <c r="A14" s="115"/>
      <c r="B14" s="116" t="s">
        <v>98</v>
      </c>
      <c r="C14" s="117">
        <v>45972</v>
      </c>
      <c r="D14" s="61"/>
      <c r="E14" s="61"/>
      <c r="F14" s="142"/>
      <c r="G14" s="142"/>
      <c r="H14" s="116" t="s">
        <v>176</v>
      </c>
      <c r="I14" s="117" t="s">
        <v>132</v>
      </c>
      <c r="J14" s="61">
        <v>0</v>
      </c>
      <c r="K14" s="61" t="s">
        <v>133</v>
      </c>
      <c r="L14" s="61" t="s">
        <v>134</v>
      </c>
      <c r="M14" s="64"/>
      <c r="N14" s="61"/>
      <c r="O14" s="61" t="s">
        <v>157</v>
      </c>
      <c r="P14" s="119">
        <v>5418542.5</v>
      </c>
      <c r="Q14" s="120">
        <v>0.07</v>
      </c>
      <c r="R14" s="61" t="s">
        <v>107</v>
      </c>
      <c r="S14" s="183">
        <v>45187</v>
      </c>
      <c r="T14" s="143" t="s">
        <v>177</v>
      </c>
      <c r="U14" s="189" t="s">
        <v>159</v>
      </c>
      <c r="V14" s="190">
        <v>0</v>
      </c>
      <c r="W14" s="190">
        <v>5418542.5</v>
      </c>
      <c r="X14" s="191" t="s">
        <v>160</v>
      </c>
      <c r="Y14" s="192" t="s">
        <v>178</v>
      </c>
      <c r="Z14" s="193">
        <v>202806</v>
      </c>
      <c r="AA14" s="131" t="s">
        <v>169</v>
      </c>
      <c r="AB14" s="61" t="s">
        <v>127</v>
      </c>
      <c r="AC14" s="61"/>
      <c r="AD14" s="134"/>
      <c r="AE14" s="134"/>
      <c r="AF14" s="64">
        <v>0</v>
      </c>
      <c r="AG14" s="149" t="s">
        <v>112</v>
      </c>
      <c r="AH14" s="117" t="s">
        <v>163</v>
      </c>
      <c r="AI14" s="132">
        <v>5039244.53</v>
      </c>
      <c r="AJ14" s="128" t="s">
        <v>164</v>
      </c>
      <c r="AK14" s="130"/>
      <c r="AL14" s="153" t="s">
        <v>153</v>
      </c>
      <c r="AM14" s="188"/>
      <c r="AN14" s="56"/>
      <c r="AO14" s="138"/>
      <c r="AP14" s="90"/>
      <c r="AS14" s="138"/>
      <c r="AU14" s="139"/>
    </row>
    <row r="15" ht="26" customHeight="1" outlineLevel="1" spans="1:50">
      <c r="A15" s="115"/>
      <c r="B15" s="116" t="s">
        <v>98</v>
      </c>
      <c r="C15" s="117">
        <v>45972</v>
      </c>
      <c r="D15" s="61"/>
      <c r="E15" s="61"/>
      <c r="F15" s="142"/>
      <c r="G15" s="142"/>
      <c r="H15" s="116" t="s">
        <v>179</v>
      </c>
      <c r="I15" s="117" t="s">
        <v>132</v>
      </c>
      <c r="J15" s="61">
        <v>0</v>
      </c>
      <c r="K15" s="61" t="s">
        <v>133</v>
      </c>
      <c r="L15" s="61" t="s">
        <v>134</v>
      </c>
      <c r="M15" s="64"/>
      <c r="N15" s="61"/>
      <c r="O15" s="61" t="s">
        <v>157</v>
      </c>
      <c r="P15" s="119">
        <v>5152833</v>
      </c>
      <c r="Q15" s="120">
        <v>0.07</v>
      </c>
      <c r="R15" s="61" t="s">
        <v>107</v>
      </c>
      <c r="S15" s="183">
        <v>45211</v>
      </c>
      <c r="T15" s="143" t="s">
        <v>180</v>
      </c>
      <c r="U15" s="189" t="s">
        <v>159</v>
      </c>
      <c r="V15" s="190">
        <v>0</v>
      </c>
      <c r="W15" s="190">
        <v>5152833</v>
      </c>
      <c r="X15" s="191" t="s">
        <v>160</v>
      </c>
      <c r="Y15" s="192" t="s">
        <v>181</v>
      </c>
      <c r="Z15" s="193">
        <v>202812</v>
      </c>
      <c r="AA15" s="131" t="s">
        <v>169</v>
      </c>
      <c r="AB15" s="61" t="s">
        <v>127</v>
      </c>
      <c r="AC15" s="61"/>
      <c r="AD15" s="134"/>
      <c r="AE15" s="134"/>
      <c r="AF15" s="64">
        <v>0</v>
      </c>
      <c r="AG15" s="149" t="s">
        <v>112</v>
      </c>
      <c r="AH15" s="117" t="s">
        <v>163</v>
      </c>
      <c r="AI15" s="132">
        <v>4792134.69</v>
      </c>
      <c r="AJ15" s="128" t="s">
        <v>164</v>
      </c>
      <c r="AK15" s="130"/>
      <c r="AL15" s="153" t="s">
        <v>153</v>
      </c>
      <c r="AM15" s="188"/>
      <c r="AN15" s="56"/>
      <c r="AO15" s="138"/>
      <c r="AP15" s="90"/>
      <c r="AS15" s="138"/>
      <c r="AU15" s="139"/>
    </row>
    <row r="16" customHeight="1" outlineLevel="1" spans="1:50">
      <c r="A16" s="115"/>
      <c r="B16" s="116" t="s">
        <v>98</v>
      </c>
      <c r="C16" s="117">
        <v>45972</v>
      </c>
      <c r="D16" s="61"/>
      <c r="E16" s="61"/>
      <c r="F16" s="142"/>
      <c r="G16" s="142"/>
      <c r="H16" s="116" t="s">
        <v>182</v>
      </c>
      <c r="I16" s="117" t="s">
        <v>132</v>
      </c>
      <c r="J16" s="61"/>
      <c r="K16" s="61" t="s">
        <v>133</v>
      </c>
      <c r="L16" s="61" t="s">
        <v>134</v>
      </c>
      <c r="M16" s="64"/>
      <c r="N16" s="61"/>
      <c r="O16" s="61" t="s">
        <v>157</v>
      </c>
      <c r="P16" s="119">
        <v>5253447.5</v>
      </c>
      <c r="Q16" s="120">
        <v>0.07</v>
      </c>
      <c r="R16" s="61" t="s">
        <v>107</v>
      </c>
      <c r="S16" s="183">
        <v>45240</v>
      </c>
      <c r="T16" s="143" t="s">
        <v>183</v>
      </c>
      <c r="U16" s="189" t="s">
        <v>159</v>
      </c>
      <c r="V16" s="190">
        <v>0</v>
      </c>
      <c r="W16" s="190">
        <v>5253447.5</v>
      </c>
      <c r="X16" s="191" t="s">
        <v>160</v>
      </c>
      <c r="Y16" s="192" t="s">
        <v>184</v>
      </c>
      <c r="Z16" s="193">
        <v>202906</v>
      </c>
      <c r="AA16" s="131" t="s">
        <v>169</v>
      </c>
      <c r="AB16" s="61" t="s">
        <v>127</v>
      </c>
      <c r="AC16" s="61"/>
      <c r="AD16" s="134"/>
      <c r="AE16" s="134"/>
      <c r="AF16" s="64"/>
      <c r="AG16" s="149" t="s">
        <v>112</v>
      </c>
      <c r="AH16" s="117" t="s">
        <v>163</v>
      </c>
      <c r="AI16" s="132">
        <v>0</v>
      </c>
      <c r="AJ16" s="128" t="s">
        <v>185</v>
      </c>
      <c r="AK16" s="130"/>
      <c r="AL16" s="153" t="s">
        <v>153</v>
      </c>
      <c r="AM16" s="188"/>
      <c r="AN16" s="56"/>
      <c r="AO16" s="138"/>
      <c r="AP16" s="90"/>
      <c r="AS16" s="138"/>
      <c r="AU16" s="139"/>
    </row>
    <row r="17" ht="24" customHeight="1" spans="1:50">
      <c r="A17" s="115"/>
      <c r="B17" s="116" t="s">
        <v>98</v>
      </c>
      <c r="C17" s="117">
        <v>45972</v>
      </c>
      <c r="D17" s="61"/>
      <c r="E17" s="61"/>
      <c r="F17" s="142"/>
      <c r="G17" s="142"/>
      <c r="H17" s="116" t="s">
        <v>186</v>
      </c>
      <c r="I17" s="117" t="s">
        <v>132</v>
      </c>
      <c r="J17" s="61"/>
      <c r="K17" s="61" t="s">
        <v>133</v>
      </c>
      <c r="L17" s="61" t="s">
        <v>134</v>
      </c>
      <c r="M17" s="64"/>
      <c r="N17" s="61"/>
      <c r="O17" s="61" t="s">
        <v>157</v>
      </c>
      <c r="P17" s="119">
        <v>5575716.5</v>
      </c>
      <c r="Q17" s="120">
        <v>0.07</v>
      </c>
      <c r="R17" s="61" t="s">
        <v>107</v>
      </c>
      <c r="S17" s="183">
        <v>45266</v>
      </c>
      <c r="T17" s="143" t="s">
        <v>187</v>
      </c>
      <c r="U17" s="189" t="s">
        <v>159</v>
      </c>
      <c r="V17" s="190">
        <v>0</v>
      </c>
      <c r="W17" s="190">
        <v>5575716.5</v>
      </c>
      <c r="X17" s="191" t="s">
        <v>160</v>
      </c>
      <c r="Y17" s="192" t="s">
        <v>188</v>
      </c>
      <c r="Z17" s="193">
        <v>202912</v>
      </c>
      <c r="AA17" s="131" t="s">
        <v>169</v>
      </c>
      <c r="AB17" s="61" t="s">
        <v>127</v>
      </c>
      <c r="AC17" s="61"/>
      <c r="AD17" s="134"/>
      <c r="AE17" s="134"/>
      <c r="AF17" s="64"/>
      <c r="AG17" s="149" t="s">
        <v>112</v>
      </c>
      <c r="AH17" s="117" t="s">
        <v>163</v>
      </c>
      <c r="AI17" s="132">
        <v>0</v>
      </c>
      <c r="AJ17" s="128" t="s">
        <v>185</v>
      </c>
      <c r="AK17" s="130"/>
      <c r="AL17" s="153" t="s">
        <v>153</v>
      </c>
      <c r="AM17" s="188" t="s">
        <v>189</v>
      </c>
      <c r="AN17" s="56"/>
      <c r="AO17" s="138"/>
      <c r="AP17" s="90"/>
      <c r="AS17" s="138"/>
      <c r="AU17" s="139"/>
    </row>
    <row r="18" ht="27" customHeight="1" spans="1:50">
      <c r="A18" s="115"/>
      <c r="B18" s="116" t="s">
        <v>98</v>
      </c>
      <c r="C18" s="117">
        <v>45972</v>
      </c>
      <c r="D18" s="61"/>
      <c r="E18" s="61"/>
      <c r="F18" s="142"/>
      <c r="G18" s="142"/>
      <c r="H18" s="116" t="s">
        <v>190</v>
      </c>
      <c r="I18" s="117" t="s">
        <v>132</v>
      </c>
      <c r="J18" s="61">
        <v>0</v>
      </c>
      <c r="K18" s="61" t="s">
        <v>133</v>
      </c>
      <c r="L18" s="61" t="s">
        <v>134</v>
      </c>
      <c r="M18" s="64"/>
      <c r="N18" s="61"/>
      <c r="O18" s="61" t="s">
        <v>157</v>
      </c>
      <c r="P18" s="119">
        <v>5718250</v>
      </c>
      <c r="Q18" s="120">
        <v>0.07</v>
      </c>
      <c r="R18" s="61" t="s">
        <v>107</v>
      </c>
      <c r="S18" s="183">
        <v>45303</v>
      </c>
      <c r="T18" s="143" t="s">
        <v>191</v>
      </c>
      <c r="U18" s="189" t="s">
        <v>159</v>
      </c>
      <c r="V18" s="190"/>
      <c r="W18" s="190">
        <v>5718250</v>
      </c>
      <c r="X18" s="191" t="s">
        <v>160</v>
      </c>
      <c r="Y18" s="192" t="s">
        <v>192</v>
      </c>
      <c r="Z18" s="193">
        <v>203012</v>
      </c>
      <c r="AA18" s="131" t="s">
        <v>169</v>
      </c>
      <c r="AB18" s="61" t="s">
        <v>110</v>
      </c>
      <c r="AC18" s="61"/>
      <c r="AD18" s="134"/>
      <c r="AE18" s="134"/>
      <c r="AF18" s="64" t="s">
        <v>193</v>
      </c>
      <c r="AG18" s="149" t="s">
        <v>194</v>
      </c>
      <c r="AH18" s="117" t="s">
        <v>195</v>
      </c>
      <c r="AI18" s="132"/>
      <c r="AJ18" s="128" t="s">
        <v>196</v>
      </c>
      <c r="AK18" s="130"/>
      <c r="AL18" s="153"/>
      <c r="AM18" s="188" t="s">
        <v>197</v>
      </c>
      <c r="AN18" s="56"/>
      <c r="AO18" s="138"/>
      <c r="AP18" s="90"/>
      <c r="AS18" s="138"/>
      <c r="AU18" s="139"/>
    </row>
    <row r="19" ht="40" customHeight="1" spans="1:50">
      <c r="A19" s="115"/>
      <c r="B19" s="116" t="s">
        <v>98</v>
      </c>
      <c r="C19" s="117">
        <v>45972</v>
      </c>
      <c r="D19" s="61">
        <v>6</v>
      </c>
      <c r="E19" s="61" t="s">
        <v>47</v>
      </c>
      <c r="F19" s="61"/>
      <c r="G19" s="61" t="s">
        <v>198</v>
      </c>
      <c r="H19" s="64" t="s">
        <v>199</v>
      </c>
      <c r="I19" s="194" t="s">
        <v>101</v>
      </c>
      <c r="J19" s="194" t="s">
        <v>200</v>
      </c>
      <c r="K19" s="61" t="s">
        <v>103</v>
      </c>
      <c r="L19" s="61" t="s">
        <v>104</v>
      </c>
      <c r="M19" s="195" t="s">
        <v>201</v>
      </c>
      <c r="N19" s="116" t="s">
        <v>202</v>
      </c>
      <c r="O19" s="117" t="s">
        <v>106</v>
      </c>
      <c r="P19" s="119">
        <v>4420000</v>
      </c>
      <c r="Q19" s="120">
        <v>0.03</v>
      </c>
      <c r="R19" s="61" t="s">
        <v>107</v>
      </c>
      <c r="S19" s="121">
        <v>44909</v>
      </c>
      <c r="T19" s="61" t="s">
        <v>203</v>
      </c>
      <c r="U19" s="196" t="s">
        <v>204</v>
      </c>
      <c r="V19" s="190">
        <v>1326000</v>
      </c>
      <c r="W19" s="190">
        <v>0</v>
      </c>
      <c r="X19" s="147"/>
      <c r="Y19" s="197"/>
      <c r="Z19" s="198"/>
      <c r="AA19" s="127" t="s">
        <v>205</v>
      </c>
      <c r="AB19" s="120" t="s">
        <v>206</v>
      </c>
      <c r="AC19" s="128" t="s">
        <v>207</v>
      </c>
      <c r="AD19" s="117">
        <v>46203</v>
      </c>
      <c r="AE19" s="129" t="s">
        <v>208</v>
      </c>
      <c r="AF19" s="130" t="s">
        <v>209</v>
      </c>
      <c r="AG19" s="131" t="s">
        <v>112</v>
      </c>
      <c r="AH19" s="61" t="s">
        <v>113</v>
      </c>
      <c r="AI19" s="132">
        <v>1285731</v>
      </c>
      <c r="AJ19" s="133" t="s">
        <v>210</v>
      </c>
      <c r="AK19" s="134"/>
      <c r="AL19" s="135"/>
      <c r="AM19" s="136" t="s">
        <v>211</v>
      </c>
      <c r="AN19" s="138"/>
      <c r="AO19" s="137"/>
      <c r="AP19" s="138"/>
      <c r="AQ19" s="138"/>
      <c r="AR19" s="139"/>
      <c r="AS19" s="140"/>
      <c r="AT19" s="138"/>
      <c r="AU19" s="137"/>
      <c r="AV19" s="138"/>
      <c r="AW19" s="56"/>
      <c r="AX19" s="90"/>
    </row>
    <row r="20" ht="43" hidden="1" customHeight="1" spans="1:50">
      <c r="A20" s="141"/>
      <c r="B20" s="199" t="s">
        <v>117</v>
      </c>
      <c r="C20" s="157">
        <v>45516</v>
      </c>
      <c r="D20" s="200">
        <v>7</v>
      </c>
      <c r="E20" s="200" t="s">
        <v>43</v>
      </c>
      <c r="F20" s="200"/>
      <c r="G20" s="200" t="s">
        <v>212</v>
      </c>
      <c r="H20" s="201" t="s">
        <v>213</v>
      </c>
      <c r="I20" s="158" t="s">
        <v>214</v>
      </c>
      <c r="J20" s="158"/>
      <c r="K20" s="158" t="s">
        <v>103</v>
      </c>
      <c r="L20" s="158" t="s">
        <v>104</v>
      </c>
      <c r="M20" s="167"/>
      <c r="N20" s="161"/>
      <c r="O20" s="161"/>
      <c r="P20" s="156">
        <v>858600</v>
      </c>
      <c r="Q20" s="202">
        <v>0.03</v>
      </c>
      <c r="R20" s="200" t="s">
        <v>107</v>
      </c>
      <c r="S20" s="203">
        <v>44918</v>
      </c>
      <c r="T20" s="200" t="s">
        <v>215</v>
      </c>
      <c r="U20" s="204" t="s">
        <v>216</v>
      </c>
      <c r="V20" s="178">
        <v>858600</v>
      </c>
      <c r="W20" s="179" t="s">
        <v>125</v>
      </c>
      <c r="X20" s="205"/>
      <c r="Y20" s="205"/>
      <c r="Z20" s="206"/>
      <c r="AA20" s="201" t="s">
        <v>126</v>
      </c>
      <c r="AB20" s="207" t="s">
        <v>127</v>
      </c>
      <c r="AC20" s="207"/>
      <c r="AD20" s="207"/>
      <c r="AE20" s="207"/>
      <c r="AF20" s="208" t="s">
        <v>217</v>
      </c>
      <c r="AG20" s="208"/>
      <c r="AH20" s="167" t="s">
        <v>113</v>
      </c>
      <c r="AI20" s="209">
        <v>829551.76</v>
      </c>
      <c r="AJ20" s="167" t="s">
        <v>126</v>
      </c>
      <c r="AK20" s="201"/>
      <c r="AL20" s="210"/>
      <c r="AM20" s="169" t="s">
        <v>218</v>
      </c>
    </row>
    <row r="21" ht="40" customHeight="1" spans="1:50">
      <c r="A21" s="115"/>
      <c r="B21" s="116" t="s">
        <v>98</v>
      </c>
      <c r="C21" s="117">
        <v>45972</v>
      </c>
      <c r="D21" s="61">
        <v>8</v>
      </c>
      <c r="E21" s="61" t="s">
        <v>7</v>
      </c>
      <c r="F21" s="61" t="s">
        <v>219</v>
      </c>
      <c r="G21" s="61" t="s">
        <v>220</v>
      </c>
      <c r="H21" s="64" t="s">
        <v>221</v>
      </c>
      <c r="I21" s="61" t="s">
        <v>222</v>
      </c>
      <c r="J21" s="61" t="s">
        <v>223</v>
      </c>
      <c r="K21" s="61" t="s">
        <v>224</v>
      </c>
      <c r="L21" s="61" t="s">
        <v>104</v>
      </c>
      <c r="M21" s="118" t="s">
        <v>225</v>
      </c>
      <c r="N21" s="116" t="s">
        <v>226</v>
      </c>
      <c r="O21" s="117" t="s">
        <v>106</v>
      </c>
      <c r="P21" s="119">
        <v>350000</v>
      </c>
      <c r="Q21" s="120">
        <v>0.1264</v>
      </c>
      <c r="R21" s="61" t="s">
        <v>107</v>
      </c>
      <c r="S21" s="61">
        <v>45054</v>
      </c>
      <c r="T21" s="61" t="s">
        <v>227</v>
      </c>
      <c r="U21" s="122" t="s">
        <v>228</v>
      </c>
      <c r="V21" s="123">
        <v>315000</v>
      </c>
      <c r="W21" s="123">
        <v>0</v>
      </c>
      <c r="X21" s="124"/>
      <c r="Y21" s="125"/>
      <c r="Z21" s="126"/>
      <c r="AA21" s="127"/>
      <c r="AB21" s="120" t="s">
        <v>110</v>
      </c>
      <c r="AC21" s="128" t="s">
        <v>229</v>
      </c>
      <c r="AD21" s="117">
        <v>45852</v>
      </c>
      <c r="AE21" s="129"/>
      <c r="AF21" s="130" t="s">
        <v>230</v>
      </c>
      <c r="AG21" s="131" t="s">
        <v>112</v>
      </c>
      <c r="AH21" s="61" t="s">
        <v>231</v>
      </c>
      <c r="AI21" s="132">
        <v>260720</v>
      </c>
      <c r="AJ21" s="133" t="s">
        <v>232</v>
      </c>
      <c r="AK21" s="134"/>
      <c r="AL21" s="135" t="s">
        <v>233</v>
      </c>
      <c r="AM21" s="136" t="s">
        <v>234</v>
      </c>
      <c r="AN21" s="138"/>
      <c r="AO21" s="137"/>
      <c r="AP21" s="138"/>
      <c r="AQ21" s="138"/>
      <c r="AR21" s="139"/>
      <c r="AS21" s="140"/>
      <c r="AT21" s="138"/>
      <c r="AU21" s="137"/>
      <c r="AV21" s="138"/>
      <c r="AW21" s="56"/>
      <c r="AX21" s="90"/>
    </row>
    <row r="22" ht="40" customHeight="1" outlineLevel="1" spans="1:50">
      <c r="A22" s="115"/>
      <c r="B22" s="116" t="s">
        <v>98</v>
      </c>
      <c r="C22" s="117">
        <v>45972</v>
      </c>
      <c r="D22" s="61"/>
      <c r="E22" s="61"/>
      <c r="F22" s="61"/>
      <c r="G22" s="61"/>
      <c r="H22" s="64" t="s">
        <v>221</v>
      </c>
      <c r="I22" s="61" t="s">
        <v>222</v>
      </c>
      <c r="J22" s="61" t="s">
        <v>223</v>
      </c>
      <c r="K22" s="116">
        <v>0</v>
      </c>
      <c r="L22" s="61" t="s">
        <v>104</v>
      </c>
      <c r="M22" s="118"/>
      <c r="N22" s="116"/>
      <c r="O22" s="117" t="s">
        <v>106</v>
      </c>
      <c r="P22" s="119">
        <v>1280000</v>
      </c>
      <c r="Q22" s="120">
        <v>0.4653</v>
      </c>
      <c r="R22" s="61" t="s">
        <v>107</v>
      </c>
      <c r="S22" s="61">
        <v>45039</v>
      </c>
      <c r="T22" s="61" t="s">
        <v>235</v>
      </c>
      <c r="U22" s="196" t="s">
        <v>228</v>
      </c>
      <c r="V22" s="190">
        <v>1152000</v>
      </c>
      <c r="W22" s="190">
        <v>0</v>
      </c>
      <c r="X22" s="147"/>
      <c r="Y22" s="197"/>
      <c r="Z22" s="198"/>
      <c r="AA22" s="127"/>
      <c r="AB22" s="120" t="s">
        <v>110</v>
      </c>
      <c r="AC22" s="128" t="s">
        <v>229</v>
      </c>
      <c r="AD22" s="117">
        <v>45852</v>
      </c>
      <c r="AE22" s="129"/>
      <c r="AF22" s="130" t="s">
        <v>230</v>
      </c>
      <c r="AG22" s="131" t="s">
        <v>236</v>
      </c>
      <c r="AH22" s="61"/>
      <c r="AI22" s="132"/>
      <c r="AJ22" s="133"/>
      <c r="AK22" s="134"/>
      <c r="AL22" s="135" t="s">
        <v>233</v>
      </c>
      <c r="AM22" s="136" t="s">
        <v>234</v>
      </c>
      <c r="AN22" s="138"/>
      <c r="AO22" s="137"/>
      <c r="AP22" s="138"/>
      <c r="AQ22" s="138"/>
      <c r="AR22" s="139"/>
      <c r="AS22" s="140"/>
      <c r="AT22" s="138"/>
      <c r="AU22" s="137"/>
      <c r="AV22" s="138"/>
      <c r="AW22" s="56"/>
      <c r="AX22" s="90"/>
    </row>
    <row r="23" ht="40" customHeight="1" outlineLevel="1" spans="1:50">
      <c r="A23" s="115"/>
      <c r="B23" s="116" t="s">
        <v>98</v>
      </c>
      <c r="C23" s="117">
        <v>45972</v>
      </c>
      <c r="D23" s="61"/>
      <c r="E23" s="61"/>
      <c r="F23" s="61"/>
      <c r="G23" s="61"/>
      <c r="H23" s="64" t="s">
        <v>221</v>
      </c>
      <c r="I23" s="61" t="s">
        <v>222</v>
      </c>
      <c r="J23" s="61" t="s">
        <v>223</v>
      </c>
      <c r="K23" s="116">
        <v>0</v>
      </c>
      <c r="L23" s="61" t="s">
        <v>104</v>
      </c>
      <c r="M23" s="118"/>
      <c r="N23" s="116"/>
      <c r="O23" s="117" t="s">
        <v>106</v>
      </c>
      <c r="P23" s="119">
        <v>1500000</v>
      </c>
      <c r="Q23" s="120">
        <v>0.121</v>
      </c>
      <c r="R23" s="61" t="s">
        <v>107</v>
      </c>
      <c r="S23" s="61">
        <v>45039</v>
      </c>
      <c r="T23" s="61" t="s">
        <v>237</v>
      </c>
      <c r="U23" s="196" t="s">
        <v>228</v>
      </c>
      <c r="V23" s="190">
        <v>1340000</v>
      </c>
      <c r="W23" s="190"/>
      <c r="X23" s="147"/>
      <c r="Y23" s="197"/>
      <c r="Z23" s="198"/>
      <c r="AA23" s="127" t="s">
        <v>238</v>
      </c>
      <c r="AB23" s="120" t="s">
        <v>110</v>
      </c>
      <c r="AC23" s="128" t="s">
        <v>229</v>
      </c>
      <c r="AD23" s="117">
        <v>45852</v>
      </c>
      <c r="AE23" s="129"/>
      <c r="AF23" s="130" t="s">
        <v>230</v>
      </c>
      <c r="AG23" s="131" t="s">
        <v>236</v>
      </c>
      <c r="AH23" s="61"/>
      <c r="AI23" s="132"/>
      <c r="AJ23" s="133"/>
      <c r="AK23" s="134"/>
      <c r="AL23" s="135"/>
      <c r="AM23" s="136" t="s">
        <v>239</v>
      </c>
      <c r="AN23" s="138"/>
      <c r="AO23" s="137"/>
      <c r="AP23" s="138"/>
      <c r="AQ23" s="138"/>
      <c r="AR23" s="139"/>
      <c r="AS23" s="140"/>
      <c r="AT23" s="138"/>
      <c r="AU23" s="137"/>
      <c r="AV23" s="138"/>
      <c r="AW23" s="56"/>
      <c r="AX23" s="90"/>
    </row>
    <row r="24" ht="107" customHeight="1" spans="1:50">
      <c r="A24" s="115"/>
      <c r="B24" s="116" t="s">
        <v>98</v>
      </c>
      <c r="C24" s="117">
        <v>45972</v>
      </c>
      <c r="D24" s="61">
        <v>9</v>
      </c>
      <c r="E24" s="61" t="s">
        <v>47</v>
      </c>
      <c r="F24" s="61"/>
      <c r="G24" s="61" t="s">
        <v>240</v>
      </c>
      <c r="H24" s="64" t="s">
        <v>241</v>
      </c>
      <c r="I24" s="194" t="s">
        <v>242</v>
      </c>
      <c r="J24" s="194" t="s">
        <v>243</v>
      </c>
      <c r="K24" s="61" t="s">
        <v>244</v>
      </c>
      <c r="L24" s="61" t="s">
        <v>134</v>
      </c>
      <c r="M24" s="182" t="s">
        <v>245</v>
      </c>
      <c r="N24" s="143" t="s">
        <v>156</v>
      </c>
      <c r="O24" s="117" t="s">
        <v>106</v>
      </c>
      <c r="P24" s="119">
        <v>68468195</v>
      </c>
      <c r="Q24" s="211">
        <v>0.122</v>
      </c>
      <c r="R24" s="194" t="s">
        <v>107</v>
      </c>
      <c r="S24" s="212">
        <v>45107</v>
      </c>
      <c r="T24" s="61" t="s">
        <v>246</v>
      </c>
      <c r="U24" s="196" t="s">
        <v>247</v>
      </c>
      <c r="V24" s="190">
        <v>34234097.5</v>
      </c>
      <c r="W24" s="190">
        <v>34234098</v>
      </c>
      <c r="X24" s="146" t="s">
        <v>248</v>
      </c>
      <c r="Y24" s="146" t="s">
        <v>249</v>
      </c>
      <c r="Z24" s="213">
        <v>202706</v>
      </c>
      <c r="AA24" s="182" t="s">
        <v>250</v>
      </c>
      <c r="AB24" s="61" t="s">
        <v>127</v>
      </c>
      <c r="AC24" s="61"/>
      <c r="AD24" s="117"/>
      <c r="AE24" s="116"/>
      <c r="AF24" s="115" t="s">
        <v>251</v>
      </c>
      <c r="AG24" s="130" t="s">
        <v>112</v>
      </c>
      <c r="AH24" s="116" t="s">
        <v>252</v>
      </c>
      <c r="AI24" s="132">
        <v>60046375</v>
      </c>
      <c r="AJ24" s="116" t="s">
        <v>253</v>
      </c>
      <c r="AK24" s="130" t="s">
        <v>254</v>
      </c>
      <c r="AL24" s="153" t="s">
        <v>255</v>
      </c>
      <c r="AM24" s="188" t="s">
        <v>256</v>
      </c>
    </row>
    <row r="25" ht="40" customHeight="1" spans="1:50">
      <c r="A25" s="115"/>
      <c r="B25" s="116" t="s">
        <v>98</v>
      </c>
      <c r="C25" s="117">
        <v>45972</v>
      </c>
      <c r="D25" s="61">
        <v>10</v>
      </c>
      <c r="E25" s="61" t="s">
        <v>47</v>
      </c>
      <c r="F25" s="61"/>
      <c r="G25" s="61" t="s">
        <v>240</v>
      </c>
      <c r="H25" s="64" t="s">
        <v>257</v>
      </c>
      <c r="I25" s="61" t="s">
        <v>258</v>
      </c>
      <c r="J25" s="61"/>
      <c r="K25" s="61" t="s">
        <v>259</v>
      </c>
      <c r="L25" s="61" t="s">
        <v>134</v>
      </c>
      <c r="M25" s="214" t="s">
        <v>260</v>
      </c>
      <c r="N25" s="116" t="s">
        <v>156</v>
      </c>
      <c r="O25" s="117" t="s">
        <v>106</v>
      </c>
      <c r="P25" s="119">
        <v>31790700</v>
      </c>
      <c r="Q25" s="120">
        <v>0.032</v>
      </c>
      <c r="R25" s="61" t="s">
        <v>107</v>
      </c>
      <c r="S25" s="121">
        <v>45089</v>
      </c>
      <c r="T25" s="61" t="s">
        <v>261</v>
      </c>
      <c r="U25" s="196" t="s">
        <v>262</v>
      </c>
      <c r="V25" s="190">
        <v>21923700</v>
      </c>
      <c r="W25" s="190">
        <v>9867000</v>
      </c>
      <c r="X25" s="147" t="s">
        <v>263</v>
      </c>
      <c r="Y25" s="215">
        <v>45105</v>
      </c>
      <c r="Z25" s="213">
        <v>202706</v>
      </c>
      <c r="AA25" s="127" t="s">
        <v>264</v>
      </c>
      <c r="AB25" s="120" t="s">
        <v>206</v>
      </c>
      <c r="AC25" s="128"/>
      <c r="AD25" s="117"/>
      <c r="AE25" s="129"/>
      <c r="AF25" s="130" t="s">
        <v>265</v>
      </c>
      <c r="AG25" s="131" t="s">
        <v>112</v>
      </c>
      <c r="AH25" s="61" t="s">
        <v>266</v>
      </c>
      <c r="AI25" s="132">
        <v>30797600</v>
      </c>
      <c r="AJ25" s="133" t="s">
        <v>253</v>
      </c>
      <c r="AK25" s="134" t="s">
        <v>267</v>
      </c>
      <c r="AL25" s="135" t="s">
        <v>268</v>
      </c>
      <c r="AM25" s="216" t="s">
        <v>269</v>
      </c>
      <c r="AN25" s="138"/>
      <c r="AO25" s="137"/>
      <c r="AP25" s="138"/>
      <c r="AQ25" s="138"/>
      <c r="AR25" s="139"/>
      <c r="AS25" s="140"/>
      <c r="AT25" s="138"/>
      <c r="AU25" s="137"/>
      <c r="AV25" s="138"/>
      <c r="AW25" s="56"/>
      <c r="AX25" s="90"/>
    </row>
    <row r="26" ht="40" customHeight="1" spans="1:50">
      <c r="A26" s="115"/>
      <c r="B26" s="116" t="s">
        <v>98</v>
      </c>
      <c r="C26" s="117">
        <v>45972</v>
      </c>
      <c r="D26" s="61">
        <v>11</v>
      </c>
      <c r="E26" s="61" t="s">
        <v>47</v>
      </c>
      <c r="F26" s="61"/>
      <c r="G26" s="61" t="s">
        <v>240</v>
      </c>
      <c r="H26" s="64" t="s">
        <v>270</v>
      </c>
      <c r="I26" s="194" t="s">
        <v>242</v>
      </c>
      <c r="J26" s="194" t="s">
        <v>243</v>
      </c>
      <c r="K26" s="61" t="s">
        <v>244</v>
      </c>
      <c r="L26" s="61" t="s">
        <v>134</v>
      </c>
      <c r="M26" s="195" t="s">
        <v>271</v>
      </c>
      <c r="N26" s="116" t="s">
        <v>156</v>
      </c>
      <c r="O26" s="117" t="s">
        <v>106</v>
      </c>
      <c r="P26" s="119">
        <v>46864200</v>
      </c>
      <c r="Q26" s="120">
        <v>0.051</v>
      </c>
      <c r="R26" s="61" t="s">
        <v>107</v>
      </c>
      <c r="S26" s="121">
        <v>45260</v>
      </c>
      <c r="T26" s="61" t="s">
        <v>272</v>
      </c>
      <c r="U26" s="196" t="s">
        <v>247</v>
      </c>
      <c r="V26" s="190">
        <v>0</v>
      </c>
      <c r="W26" s="190">
        <v>46864200</v>
      </c>
      <c r="X26" s="147" t="s">
        <v>273</v>
      </c>
      <c r="Y26" s="197" t="s">
        <v>274</v>
      </c>
      <c r="Z26" s="213">
        <v>202706</v>
      </c>
      <c r="AA26" s="127" t="s">
        <v>275</v>
      </c>
      <c r="AB26" s="120" t="s">
        <v>127</v>
      </c>
      <c r="AC26" s="128"/>
      <c r="AD26" s="117"/>
      <c r="AE26" s="129"/>
      <c r="AF26" s="130" t="s">
        <v>276</v>
      </c>
      <c r="AG26" s="131" t="s">
        <v>112</v>
      </c>
      <c r="AH26" s="61" t="s">
        <v>277</v>
      </c>
      <c r="AI26" s="132">
        <v>42179610</v>
      </c>
      <c r="AJ26" s="133" t="s">
        <v>253</v>
      </c>
      <c r="AK26" s="134" t="s">
        <v>278</v>
      </c>
      <c r="AL26" s="135"/>
      <c r="AM26" s="136"/>
      <c r="AN26" s="138"/>
      <c r="AO26" s="137"/>
      <c r="AP26" s="138"/>
      <c r="AQ26" s="138"/>
      <c r="AR26" s="139"/>
      <c r="AS26" s="140"/>
      <c r="AT26" s="138"/>
      <c r="AU26" s="137"/>
      <c r="AV26" s="138"/>
      <c r="AW26" s="56"/>
      <c r="AX26" s="90"/>
    </row>
    <row r="27" ht="59" hidden="1" customHeight="1" spans="1:50">
      <c r="A27" s="141"/>
      <c r="B27" s="208" t="s">
        <v>117</v>
      </c>
      <c r="C27" s="217">
        <v>45707</v>
      </c>
      <c r="D27" s="218">
        <v>12</v>
      </c>
      <c r="E27" s="218" t="s">
        <v>52</v>
      </c>
      <c r="F27" s="218"/>
      <c r="G27" s="218" t="s">
        <v>279</v>
      </c>
      <c r="H27" s="219" t="s">
        <v>280</v>
      </c>
      <c r="I27" s="61" t="s">
        <v>281</v>
      </c>
      <c r="J27" s="61"/>
      <c r="K27" s="61" t="s">
        <v>134</v>
      </c>
      <c r="L27" s="61" t="s">
        <v>134</v>
      </c>
      <c r="M27" s="207" t="s">
        <v>282</v>
      </c>
      <c r="N27" s="161"/>
      <c r="O27" s="161"/>
      <c r="P27" s="220">
        <v>8700000</v>
      </c>
      <c r="Q27" s="120">
        <v>0.0514</v>
      </c>
      <c r="R27" s="218" t="s">
        <v>107</v>
      </c>
      <c r="S27" s="221">
        <v>45244</v>
      </c>
      <c r="T27" s="218" t="s">
        <v>283</v>
      </c>
      <c r="U27" s="222" t="s">
        <v>284</v>
      </c>
      <c r="V27" s="223">
        <v>8700000</v>
      </c>
      <c r="W27" s="224"/>
      <c r="X27" s="224" t="s">
        <v>285</v>
      </c>
      <c r="Y27" s="225">
        <v>45608</v>
      </c>
      <c r="Z27" s="226"/>
      <c r="AA27" s="219" t="s">
        <v>126</v>
      </c>
      <c r="AB27" s="218" t="s">
        <v>110</v>
      </c>
      <c r="AC27" s="218"/>
      <c r="AD27" s="221"/>
      <c r="AE27" s="227"/>
      <c r="AF27" s="207"/>
      <c r="AG27" s="207"/>
      <c r="AH27" s="207" t="s">
        <v>286</v>
      </c>
      <c r="AI27" s="228">
        <v>7477276</v>
      </c>
      <c r="AJ27" s="207" t="s">
        <v>287</v>
      </c>
      <c r="AK27" s="207"/>
      <c r="AL27" s="229"/>
      <c r="AM27" s="188" t="s">
        <v>288</v>
      </c>
    </row>
    <row r="28" ht="40" customHeight="1" spans="1:50">
      <c r="A28" s="115"/>
      <c r="B28" s="116" t="s">
        <v>98</v>
      </c>
      <c r="C28" s="117">
        <v>45972</v>
      </c>
      <c r="D28" s="61">
        <v>13</v>
      </c>
      <c r="E28" s="61" t="s">
        <v>47</v>
      </c>
      <c r="F28" s="61"/>
      <c r="G28" s="61" t="s">
        <v>118</v>
      </c>
      <c r="H28" s="64" t="s">
        <v>289</v>
      </c>
      <c r="I28" s="194" t="s">
        <v>242</v>
      </c>
      <c r="J28" s="194" t="s">
        <v>243</v>
      </c>
      <c r="K28" s="61" t="s">
        <v>290</v>
      </c>
      <c r="L28" s="61" t="s">
        <v>134</v>
      </c>
      <c r="M28" s="195" t="s">
        <v>291</v>
      </c>
      <c r="N28" s="116" t="s">
        <v>156</v>
      </c>
      <c r="O28" s="117" t="s">
        <v>106</v>
      </c>
      <c r="P28" s="119">
        <v>32635625</v>
      </c>
      <c r="Q28" s="120">
        <v>0.0888</v>
      </c>
      <c r="R28" s="61" t="s">
        <v>107</v>
      </c>
      <c r="S28" s="121">
        <v>45379</v>
      </c>
      <c r="T28" s="61" t="s">
        <v>292</v>
      </c>
      <c r="U28" s="122" t="s">
        <v>247</v>
      </c>
      <c r="V28" s="123"/>
      <c r="W28" s="123">
        <v>16317812.5</v>
      </c>
      <c r="X28" s="124" t="s">
        <v>293</v>
      </c>
      <c r="Y28" s="230">
        <v>45777</v>
      </c>
      <c r="Z28" s="231">
        <v>202706</v>
      </c>
      <c r="AA28" s="127" t="s">
        <v>294</v>
      </c>
      <c r="AB28" s="120" t="s">
        <v>127</v>
      </c>
      <c r="AC28" s="128"/>
      <c r="AD28" s="117"/>
      <c r="AE28" s="129"/>
      <c r="AF28" s="130" t="s">
        <v>295</v>
      </c>
      <c r="AG28" s="131" t="s">
        <v>112</v>
      </c>
      <c r="AH28" s="61" t="s">
        <v>296</v>
      </c>
      <c r="AI28" s="132">
        <v>29496305</v>
      </c>
      <c r="AJ28" s="133" t="s">
        <v>297</v>
      </c>
      <c r="AK28" s="134" t="s">
        <v>298</v>
      </c>
      <c r="AL28" s="135"/>
      <c r="AM28" s="136" t="s">
        <v>299</v>
      </c>
      <c r="AN28" s="138"/>
      <c r="AO28" s="137"/>
      <c r="AP28" s="138"/>
      <c r="AQ28" s="138"/>
      <c r="AR28" s="139"/>
      <c r="AS28" s="140"/>
      <c r="AT28" s="138"/>
      <c r="AU28" s="137"/>
      <c r="AV28" s="138"/>
      <c r="AW28" s="56"/>
      <c r="AX28" s="90"/>
    </row>
    <row r="29" ht="42" hidden="1" customHeight="1" spans="1:50">
      <c r="A29" s="232" t="s">
        <v>300</v>
      </c>
      <c r="B29" s="199" t="s">
        <v>117</v>
      </c>
      <c r="C29" s="233">
        <v>45299</v>
      </c>
      <c r="D29" s="234">
        <v>1</v>
      </c>
      <c r="E29" s="234" t="s">
        <v>47</v>
      </c>
      <c r="F29" s="234"/>
      <c r="G29" s="234" t="s">
        <v>118</v>
      </c>
      <c r="H29" s="235" t="s">
        <v>301</v>
      </c>
      <c r="I29" s="234" t="s">
        <v>101</v>
      </c>
      <c r="J29" s="234" t="s">
        <v>302</v>
      </c>
      <c r="K29" s="234" t="s">
        <v>103</v>
      </c>
      <c r="L29" s="61" t="s">
        <v>104</v>
      </c>
      <c r="M29" s="167" t="s">
        <v>122</v>
      </c>
      <c r="N29" s="115"/>
      <c r="O29" s="232"/>
      <c r="P29" s="236">
        <v>405000</v>
      </c>
      <c r="Q29" s="237">
        <v>0.1071</v>
      </c>
      <c r="R29" s="200" t="s">
        <v>107</v>
      </c>
      <c r="S29" s="203">
        <v>45056</v>
      </c>
      <c r="T29" s="200" t="s">
        <v>303</v>
      </c>
      <c r="U29" s="204" t="s">
        <v>304</v>
      </c>
      <c r="V29" s="178">
        <v>405000</v>
      </c>
      <c r="W29" s="179" t="s">
        <v>125</v>
      </c>
      <c r="X29" s="179"/>
      <c r="Y29" s="179"/>
      <c r="Z29" s="180"/>
      <c r="AA29" s="201" t="s">
        <v>126</v>
      </c>
      <c r="AB29" s="200" t="s">
        <v>127</v>
      </c>
      <c r="AC29" s="200"/>
      <c r="AD29" s="203"/>
      <c r="AE29" s="200"/>
      <c r="AF29" s="167">
        <v>0</v>
      </c>
      <c r="AG29" s="167" t="s">
        <v>112</v>
      </c>
      <c r="AH29" s="167" t="s">
        <v>305</v>
      </c>
      <c r="AI29" s="209">
        <v>361600</v>
      </c>
      <c r="AJ29" s="167" t="s">
        <v>306</v>
      </c>
      <c r="AK29" s="201"/>
      <c r="AL29" s="210"/>
      <c r="AM29" s="169" t="s">
        <v>307</v>
      </c>
    </row>
    <row r="30" ht="163" hidden="1" customHeight="1" spans="1:50">
      <c r="A30" s="161"/>
      <c r="B30" s="116" t="s">
        <v>117</v>
      </c>
      <c r="C30" s="117">
        <v>45972</v>
      </c>
      <c r="D30" s="61">
        <v>14</v>
      </c>
      <c r="E30" s="61" t="s">
        <v>47</v>
      </c>
      <c r="F30" s="61"/>
      <c r="G30" s="61" t="s">
        <v>308</v>
      </c>
      <c r="H30" s="64" t="s">
        <v>309</v>
      </c>
      <c r="I30" s="61" t="s">
        <v>310</v>
      </c>
      <c r="J30" s="61" t="s">
        <v>311</v>
      </c>
      <c r="K30" s="61" t="s">
        <v>312</v>
      </c>
      <c r="L30" s="61" t="s">
        <v>104</v>
      </c>
      <c r="M30" s="130" t="s">
        <v>313</v>
      </c>
      <c r="N30" s="143" t="s">
        <v>104</v>
      </c>
      <c r="O30" s="143"/>
      <c r="P30" s="238">
        <v>18526000</v>
      </c>
      <c r="Q30" s="120">
        <v>0.0501</v>
      </c>
      <c r="R30" s="61" t="s">
        <v>107</v>
      </c>
      <c r="S30" s="117">
        <v>45484</v>
      </c>
      <c r="T30" s="61" t="s">
        <v>314</v>
      </c>
      <c r="U30" s="239" t="s">
        <v>315</v>
      </c>
      <c r="V30" s="123">
        <v>18526000</v>
      </c>
      <c r="W30" s="240"/>
      <c r="X30" s="240"/>
      <c r="Y30" s="240"/>
      <c r="Z30" s="241"/>
      <c r="AA30" s="242" t="s">
        <v>316</v>
      </c>
      <c r="AB30" s="61" t="s">
        <v>110</v>
      </c>
      <c r="AC30" s="61"/>
      <c r="AD30" s="117"/>
      <c r="AE30" s="116"/>
      <c r="AF30" s="130" t="s">
        <v>317</v>
      </c>
      <c r="AG30" s="130"/>
      <c r="AH30" s="130" t="s">
        <v>113</v>
      </c>
      <c r="AI30" s="129">
        <v>17450000</v>
      </c>
      <c r="AJ30" s="130" t="s">
        <v>318</v>
      </c>
      <c r="AK30" s="130" t="s">
        <v>319</v>
      </c>
      <c r="AL30" s="243"/>
      <c r="AM30" s="244" t="s">
        <v>320</v>
      </c>
    </row>
    <row r="31" ht="40" customHeight="1" spans="1:50">
      <c r="A31" s="115"/>
      <c r="B31" s="116" t="s">
        <v>98</v>
      </c>
      <c r="C31" s="117">
        <v>45972</v>
      </c>
      <c r="D31" s="61">
        <v>15</v>
      </c>
      <c r="E31" s="61" t="s">
        <v>47</v>
      </c>
      <c r="F31" s="61"/>
      <c r="G31" s="61" t="s">
        <v>118</v>
      </c>
      <c r="H31" s="64" t="s">
        <v>321</v>
      </c>
      <c r="I31" s="194" t="s">
        <v>242</v>
      </c>
      <c r="J31" s="194" t="s">
        <v>322</v>
      </c>
      <c r="K31" s="61" t="s">
        <v>290</v>
      </c>
      <c r="L31" s="61" t="s">
        <v>134</v>
      </c>
      <c r="M31" s="195" t="s">
        <v>323</v>
      </c>
      <c r="N31" s="116" t="s">
        <v>156</v>
      </c>
      <c r="O31" s="117" t="s">
        <v>106</v>
      </c>
      <c r="P31" s="119">
        <v>64172775</v>
      </c>
      <c r="Q31" s="120">
        <v>0.0758</v>
      </c>
      <c r="R31" s="61" t="s">
        <v>107</v>
      </c>
      <c r="S31" s="121">
        <v>45463</v>
      </c>
      <c r="T31" s="61" t="s">
        <v>324</v>
      </c>
      <c r="U31" s="196" t="s">
        <v>325</v>
      </c>
      <c r="V31" s="190"/>
      <c r="W31" s="190">
        <v>64172775</v>
      </c>
      <c r="X31" s="147" t="s">
        <v>326</v>
      </c>
      <c r="Y31" s="215">
        <v>45838</v>
      </c>
      <c r="Z31" s="213">
        <v>202709</v>
      </c>
      <c r="AA31" s="127" t="s">
        <v>327</v>
      </c>
      <c r="AB31" s="120" t="s">
        <v>127</v>
      </c>
      <c r="AC31" s="128"/>
      <c r="AD31" s="117"/>
      <c r="AE31" s="129"/>
      <c r="AF31" s="130"/>
      <c r="AG31" s="131" t="s">
        <v>112</v>
      </c>
      <c r="AH31" s="61" t="s">
        <v>328</v>
      </c>
      <c r="AI31" s="132">
        <v>58102200</v>
      </c>
      <c r="AJ31" s="133" t="s">
        <v>253</v>
      </c>
      <c r="AK31" s="134" t="s">
        <v>329</v>
      </c>
      <c r="AL31" s="135"/>
      <c r="AM31" s="136" t="s">
        <v>330</v>
      </c>
      <c r="AN31" s="138"/>
      <c r="AO31" s="137"/>
      <c r="AP31" s="138"/>
      <c r="AQ31" s="138"/>
      <c r="AR31" s="139"/>
      <c r="AS31" s="140"/>
      <c r="AT31" s="138"/>
      <c r="AU31" s="137"/>
      <c r="AV31" s="138"/>
      <c r="AW31" s="56"/>
      <c r="AX31" s="90"/>
    </row>
    <row r="32" ht="51" hidden="1" customHeight="1" spans="1:50">
      <c r="A32" s="142"/>
      <c r="B32" s="116" t="s">
        <v>117</v>
      </c>
      <c r="C32" s="117">
        <v>45819</v>
      </c>
      <c r="D32" s="61">
        <v>16</v>
      </c>
      <c r="E32" s="61" t="s">
        <v>331</v>
      </c>
      <c r="F32" s="61"/>
      <c r="G32" s="61" t="s">
        <v>332</v>
      </c>
      <c r="H32" s="64" t="s">
        <v>333</v>
      </c>
      <c r="I32" s="61" t="s">
        <v>334</v>
      </c>
      <c r="J32" s="61" t="s">
        <v>335</v>
      </c>
      <c r="K32" s="61" t="s">
        <v>336</v>
      </c>
      <c r="L32" s="61" t="s">
        <v>104</v>
      </c>
      <c r="M32" s="130" t="s">
        <v>337</v>
      </c>
      <c r="N32" s="143"/>
      <c r="O32" s="143"/>
      <c r="P32" s="220">
        <v>1860000</v>
      </c>
      <c r="Q32" s="120">
        <v>0.1505</v>
      </c>
      <c r="R32" s="61" t="s">
        <v>107</v>
      </c>
      <c r="S32" s="117">
        <v>45380</v>
      </c>
      <c r="T32" s="129" t="s">
        <v>338</v>
      </c>
      <c r="U32" s="245" t="s">
        <v>339</v>
      </c>
      <c r="V32" s="190"/>
      <c r="W32" s="146"/>
      <c r="X32" s="147"/>
      <c r="Y32" s="147"/>
      <c r="Z32" s="193"/>
      <c r="AA32" s="246" t="s">
        <v>337</v>
      </c>
      <c r="AB32" s="61" t="s">
        <v>110</v>
      </c>
      <c r="AC32" s="61" t="s">
        <v>340</v>
      </c>
      <c r="AD32" s="117">
        <v>45747</v>
      </c>
      <c r="AE32" s="61"/>
      <c r="AF32" s="130" t="s">
        <v>341</v>
      </c>
      <c r="AG32" s="130"/>
      <c r="AH32" s="130" t="s">
        <v>342</v>
      </c>
      <c r="AI32" s="116"/>
      <c r="AJ32" s="130" t="s">
        <v>343</v>
      </c>
      <c r="AK32" s="130" t="s">
        <v>344</v>
      </c>
      <c r="AL32" s="247" t="s">
        <v>345</v>
      </c>
      <c r="AM32" s="188" t="s">
        <v>346</v>
      </c>
    </row>
    <row r="33" ht="76" hidden="1" customHeight="1" spans="1:50">
      <c r="A33" s="141"/>
      <c r="B33" s="208" t="s">
        <v>117</v>
      </c>
      <c r="C33" s="117">
        <v>45727</v>
      </c>
      <c r="D33" s="218">
        <v>17</v>
      </c>
      <c r="E33" s="218" t="s">
        <v>41</v>
      </c>
      <c r="F33" s="218"/>
      <c r="G33" s="218" t="s">
        <v>347</v>
      </c>
      <c r="H33" s="219" t="s">
        <v>348</v>
      </c>
      <c r="I33" s="248" t="s">
        <v>349</v>
      </c>
      <c r="J33" s="248" t="s">
        <v>350</v>
      </c>
      <c r="K33" s="249" t="s">
        <v>336</v>
      </c>
      <c r="L33" s="249" t="s">
        <v>104</v>
      </c>
      <c r="M33" s="250" t="s">
        <v>351</v>
      </c>
      <c r="N33" s="161"/>
      <c r="O33" s="161"/>
      <c r="P33" s="251">
        <v>4230790.15</v>
      </c>
      <c r="Q33" s="252">
        <v>0.0548</v>
      </c>
      <c r="R33" s="194" t="s">
        <v>107</v>
      </c>
      <c r="S33" s="253">
        <v>45555</v>
      </c>
      <c r="T33" s="249" t="s">
        <v>352</v>
      </c>
      <c r="U33" s="222" t="s">
        <v>353</v>
      </c>
      <c r="V33" s="254">
        <v>4664726.24</v>
      </c>
      <c r="W33" s="224"/>
      <c r="X33" s="224"/>
      <c r="Y33" s="224"/>
      <c r="Z33" s="226"/>
      <c r="AA33" s="255" t="s">
        <v>126</v>
      </c>
      <c r="AB33" s="218" t="s">
        <v>127</v>
      </c>
      <c r="AC33" s="218" t="s">
        <v>354</v>
      </c>
      <c r="AD33" s="221">
        <v>45626</v>
      </c>
      <c r="AE33" s="208"/>
      <c r="AF33" s="207" t="s">
        <v>355</v>
      </c>
      <c r="AG33" s="207"/>
      <c r="AH33" s="207" t="s">
        <v>113</v>
      </c>
      <c r="AI33" s="256">
        <v>4400684.16</v>
      </c>
      <c r="AJ33" s="207" t="s">
        <v>356</v>
      </c>
      <c r="AK33" s="207" t="s">
        <v>357</v>
      </c>
      <c r="AL33" s="229" t="s">
        <v>358</v>
      </c>
      <c r="AM33" s="188" t="s">
        <v>359</v>
      </c>
    </row>
    <row r="34" ht="47" hidden="1" customHeight="1" spans="1:50">
      <c r="A34" s="41"/>
      <c r="B34" s="257" t="s">
        <v>117</v>
      </c>
      <c r="C34" s="117">
        <v>45819</v>
      </c>
      <c r="D34" s="61">
        <v>18</v>
      </c>
      <c r="E34" s="61" t="s">
        <v>41</v>
      </c>
      <c r="F34" s="61"/>
      <c r="G34" s="61" t="s">
        <v>360</v>
      </c>
      <c r="H34" s="64" t="s">
        <v>361</v>
      </c>
      <c r="I34" s="61" t="s">
        <v>362</v>
      </c>
      <c r="J34" s="61" t="s">
        <v>362</v>
      </c>
      <c r="K34" s="61" t="s">
        <v>363</v>
      </c>
      <c r="L34" s="249" t="s">
        <v>104</v>
      </c>
      <c r="M34" s="64" t="s">
        <v>364</v>
      </c>
      <c r="N34" s="143" t="s">
        <v>104</v>
      </c>
      <c r="O34" s="143"/>
      <c r="P34" s="220" t="s">
        <v>365</v>
      </c>
      <c r="Q34" s="128">
        <v>0.06</v>
      </c>
      <c r="R34" s="61" t="s">
        <v>107</v>
      </c>
      <c r="S34" s="117">
        <v>45747</v>
      </c>
      <c r="T34" s="129" t="s">
        <v>366</v>
      </c>
      <c r="U34" s="239" t="s">
        <v>367</v>
      </c>
      <c r="V34" s="123"/>
      <c r="W34" s="240"/>
      <c r="X34" s="124"/>
      <c r="Y34" s="124"/>
      <c r="Z34" s="258"/>
      <c r="AA34" s="64" t="s">
        <v>137</v>
      </c>
      <c r="AB34" s="61"/>
      <c r="AC34" s="61"/>
      <c r="AD34" s="117"/>
      <c r="AE34" s="61"/>
      <c r="AF34" s="41"/>
      <c r="AG34" s="41"/>
      <c r="AH34" s="64" t="s">
        <v>368</v>
      </c>
      <c r="AI34" s="64" t="s">
        <v>368</v>
      </c>
      <c r="AJ34" s="64" t="s">
        <v>368</v>
      </c>
      <c r="AK34" s="64" t="s">
        <v>369</v>
      </c>
      <c r="AL34" s="135" t="s">
        <v>300</v>
      </c>
      <c r="AM34" s="259" t="s">
        <v>370</v>
      </c>
    </row>
    <row r="35" ht="42" hidden="1" customHeight="1" spans="1:50">
      <c r="B35" s="260" t="s">
        <v>117</v>
      </c>
      <c r="C35" s="217">
        <v>45707</v>
      </c>
      <c r="D35" s="261">
        <v>19</v>
      </c>
      <c r="E35" s="261" t="s">
        <v>331</v>
      </c>
      <c r="F35" s="261"/>
      <c r="G35" s="261" t="s">
        <v>371</v>
      </c>
      <c r="H35" s="262" t="s">
        <v>372</v>
      </c>
      <c r="I35" s="263" t="s">
        <v>373</v>
      </c>
      <c r="J35" s="263" t="s">
        <v>373</v>
      </c>
      <c r="K35" s="263" t="s">
        <v>374</v>
      </c>
      <c r="L35" s="263" t="s">
        <v>104</v>
      </c>
      <c r="M35" s="262"/>
      <c r="N35" s="143"/>
      <c r="O35" s="143"/>
      <c r="P35" s="264">
        <v>0</v>
      </c>
      <c r="Q35" s="265">
        <v>0.0041</v>
      </c>
      <c r="R35" s="263" t="s">
        <v>107</v>
      </c>
      <c r="S35" s="266">
        <v>45450</v>
      </c>
      <c r="T35" s="266" t="s">
        <v>375</v>
      </c>
      <c r="U35" s="267"/>
      <c r="V35" s="268"/>
      <c r="W35" s="269"/>
      <c r="X35" s="270"/>
      <c r="Y35" s="270"/>
      <c r="Z35" s="271"/>
      <c r="AA35" s="262" t="s">
        <v>137</v>
      </c>
      <c r="AB35" s="263" t="s">
        <v>110</v>
      </c>
      <c r="AC35" s="263"/>
      <c r="AD35" s="266"/>
      <c r="AE35" s="263"/>
      <c r="AF35" s="262" t="s">
        <v>376</v>
      </c>
      <c r="AG35" s="262"/>
      <c r="AH35" s="272" t="s">
        <v>377</v>
      </c>
      <c r="AI35" s="273">
        <v>4307932</v>
      </c>
      <c r="AJ35" s="272" t="s">
        <v>378</v>
      </c>
      <c r="AK35" s="262"/>
      <c r="AL35" s="274" t="s">
        <v>379</v>
      </c>
      <c r="AM35" s="275"/>
    </row>
    <row r="36" ht="42" hidden="1" customHeight="1" spans="1:50">
      <c r="B36" s="260" t="s">
        <v>117</v>
      </c>
      <c r="C36" s="217">
        <v>45707</v>
      </c>
      <c r="D36" s="276"/>
      <c r="E36" s="276"/>
      <c r="F36" s="276"/>
      <c r="G36" s="276"/>
      <c r="H36" s="262" t="s">
        <v>380</v>
      </c>
      <c r="I36" s="263" t="s">
        <v>373</v>
      </c>
      <c r="J36" s="263" t="s">
        <v>373</v>
      </c>
      <c r="K36" s="263" t="s">
        <v>374</v>
      </c>
      <c r="L36" s="263" t="s">
        <v>104</v>
      </c>
      <c r="M36" s="262"/>
      <c r="N36" s="143"/>
      <c r="O36" s="143"/>
      <c r="P36" s="277">
        <v>2959200</v>
      </c>
      <c r="Q36" s="265">
        <v>0.0041</v>
      </c>
      <c r="R36" s="263" t="s">
        <v>107</v>
      </c>
      <c r="S36" s="266">
        <v>45490</v>
      </c>
      <c r="T36" s="266" t="s">
        <v>381</v>
      </c>
      <c r="U36" s="267" t="s">
        <v>143</v>
      </c>
      <c r="V36" s="268">
        <v>2959200</v>
      </c>
      <c r="W36" s="269"/>
      <c r="X36" s="270"/>
      <c r="Y36" s="270"/>
      <c r="Z36" s="271"/>
      <c r="AA36" s="262" t="s">
        <v>126</v>
      </c>
      <c r="AB36" s="263"/>
      <c r="AC36" s="263"/>
      <c r="AD36" s="266"/>
      <c r="AE36" s="263"/>
      <c r="AF36" s="262"/>
      <c r="AG36" s="262"/>
      <c r="AH36" s="262"/>
      <c r="AI36" s="278">
        <v>2940000</v>
      </c>
      <c r="AJ36" s="262" t="s">
        <v>382</v>
      </c>
      <c r="AK36" s="262"/>
      <c r="AL36" s="274" t="s">
        <v>383</v>
      </c>
      <c r="AM36" s="275" t="s">
        <v>384</v>
      </c>
    </row>
    <row r="37" ht="42" hidden="1" customHeight="1" spans="1:50">
      <c r="B37" s="260" t="s">
        <v>117</v>
      </c>
      <c r="C37" s="217">
        <v>45707</v>
      </c>
      <c r="D37" s="276"/>
      <c r="E37" s="276"/>
      <c r="F37" s="276"/>
      <c r="G37" s="276"/>
      <c r="H37" s="262" t="s">
        <v>385</v>
      </c>
      <c r="I37" s="263" t="s">
        <v>373</v>
      </c>
      <c r="J37" s="263" t="s">
        <v>373</v>
      </c>
      <c r="K37" s="263" t="s">
        <v>374</v>
      </c>
      <c r="L37" s="263" t="s">
        <v>104</v>
      </c>
      <c r="M37" s="262"/>
      <c r="N37" s="143"/>
      <c r="O37" s="143"/>
      <c r="P37" s="277">
        <v>1479600</v>
      </c>
      <c r="Q37" s="265">
        <v>0.0041</v>
      </c>
      <c r="R37" s="263" t="s">
        <v>107</v>
      </c>
      <c r="S37" s="266">
        <v>45601</v>
      </c>
      <c r="T37" s="266" t="s">
        <v>386</v>
      </c>
      <c r="U37" s="267" t="s">
        <v>325</v>
      </c>
      <c r="V37" s="268">
        <v>1479600</v>
      </c>
      <c r="W37" s="269"/>
      <c r="X37" s="270"/>
      <c r="Y37" s="270"/>
      <c r="Z37" s="271"/>
      <c r="AA37" s="262" t="s">
        <v>126</v>
      </c>
      <c r="AB37" s="263"/>
      <c r="AC37" s="263"/>
      <c r="AD37" s="266"/>
      <c r="AE37" s="263"/>
      <c r="AF37" s="262"/>
      <c r="AG37" s="262"/>
      <c r="AH37" s="262"/>
      <c r="AI37" s="263">
        <v>1477932</v>
      </c>
      <c r="AJ37" s="262" t="s">
        <v>387</v>
      </c>
      <c r="AK37" s="262"/>
      <c r="AL37" s="274" t="s">
        <v>388</v>
      </c>
      <c r="AM37" s="275" t="s">
        <v>389</v>
      </c>
    </row>
    <row r="38" ht="42" hidden="1" customHeight="1" spans="1:50">
      <c r="A38" s="41"/>
      <c r="B38" s="257" t="s">
        <v>117</v>
      </c>
      <c r="C38" s="117">
        <v>45757</v>
      </c>
      <c r="D38" s="279"/>
      <c r="E38" s="279"/>
      <c r="F38" s="279"/>
      <c r="G38" s="279"/>
      <c r="H38" s="64" t="s">
        <v>390</v>
      </c>
      <c r="I38" s="263" t="s">
        <v>373</v>
      </c>
      <c r="J38" s="263" t="s">
        <v>373</v>
      </c>
      <c r="K38" s="61" t="s">
        <v>374</v>
      </c>
      <c r="L38" s="61" t="s">
        <v>104</v>
      </c>
      <c r="M38" s="64" t="s">
        <v>391</v>
      </c>
      <c r="N38" s="143" t="s">
        <v>104</v>
      </c>
      <c r="O38" s="143"/>
      <c r="P38" s="280">
        <v>2359155</v>
      </c>
      <c r="Q38" s="265">
        <v>0.0041</v>
      </c>
      <c r="R38" s="263" t="s">
        <v>392</v>
      </c>
      <c r="S38" s="266" t="s">
        <v>393</v>
      </c>
      <c r="T38" s="117" t="s">
        <v>394</v>
      </c>
      <c r="U38" s="245" t="s">
        <v>325</v>
      </c>
      <c r="V38" s="281">
        <v>2359155</v>
      </c>
      <c r="W38" s="146"/>
      <c r="X38" s="147"/>
      <c r="Y38" s="147"/>
      <c r="Z38" s="193"/>
      <c r="AA38" s="64" t="s">
        <v>126</v>
      </c>
      <c r="AB38" s="61" t="s">
        <v>110</v>
      </c>
      <c r="AC38" s="61"/>
      <c r="AD38" s="117"/>
      <c r="AE38" s="61"/>
      <c r="AF38" s="64" t="s">
        <v>341</v>
      </c>
      <c r="AG38" s="64"/>
      <c r="AH38" s="64" t="s">
        <v>395</v>
      </c>
      <c r="AI38" s="152">
        <v>2352023</v>
      </c>
      <c r="AJ38" s="64" t="s">
        <v>396</v>
      </c>
      <c r="AK38" s="64"/>
      <c r="AL38" s="135" t="s">
        <v>397</v>
      </c>
      <c r="AM38" s="259" t="s">
        <v>398</v>
      </c>
    </row>
    <row r="39" ht="42" hidden="1" customHeight="1" spans="1:50">
      <c r="B39" s="260" t="s">
        <v>117</v>
      </c>
      <c r="C39" s="266">
        <v>45636</v>
      </c>
      <c r="D39" s="261">
        <v>20</v>
      </c>
      <c r="E39" s="261" t="s">
        <v>331</v>
      </c>
      <c r="F39" s="261"/>
      <c r="G39" s="261" t="s">
        <v>332</v>
      </c>
      <c r="H39" s="64" t="s">
        <v>399</v>
      </c>
      <c r="I39" s="263" t="s">
        <v>400</v>
      </c>
      <c r="J39" s="263" t="s">
        <v>400</v>
      </c>
      <c r="K39" s="263" t="s">
        <v>374</v>
      </c>
      <c r="L39" s="263" t="s">
        <v>104</v>
      </c>
      <c r="M39" s="262"/>
      <c r="N39" s="143"/>
      <c r="O39" s="143"/>
      <c r="P39" s="264">
        <v>0</v>
      </c>
      <c r="Q39" s="265">
        <v>0.2</v>
      </c>
      <c r="R39" s="263" t="s">
        <v>107</v>
      </c>
      <c r="S39" s="266">
        <v>45450</v>
      </c>
      <c r="T39" s="263" t="s">
        <v>401</v>
      </c>
      <c r="U39" s="267"/>
      <c r="V39" s="268"/>
      <c r="W39" s="269"/>
      <c r="X39" s="270"/>
      <c r="Y39" s="270"/>
      <c r="Z39" s="271"/>
      <c r="AA39" s="262" t="s">
        <v>137</v>
      </c>
      <c r="AB39" s="263"/>
      <c r="AC39" s="263" t="s">
        <v>402</v>
      </c>
      <c r="AD39" s="266">
        <v>45747</v>
      </c>
      <c r="AE39" s="263" t="s">
        <v>403</v>
      </c>
      <c r="AF39" s="262" t="s">
        <v>341</v>
      </c>
      <c r="AG39" s="262"/>
      <c r="AH39" s="272" t="s">
        <v>377</v>
      </c>
      <c r="AI39" s="273">
        <v>0</v>
      </c>
      <c r="AJ39" s="272" t="s">
        <v>404</v>
      </c>
      <c r="AK39" s="262"/>
      <c r="AL39" s="274" t="s">
        <v>379</v>
      </c>
      <c r="AM39" s="275" t="s">
        <v>405</v>
      </c>
    </row>
    <row r="40" ht="24" hidden="1" customHeight="1" spans="1:50">
      <c r="A40" s="41"/>
      <c r="B40" s="257" t="s">
        <v>117</v>
      </c>
      <c r="C40" s="117">
        <v>45727</v>
      </c>
      <c r="D40" s="218"/>
      <c r="E40" s="218"/>
      <c r="F40" s="218"/>
      <c r="G40" s="218"/>
      <c r="H40" s="64" t="s">
        <v>406</v>
      </c>
      <c r="I40" s="263" t="s">
        <v>400</v>
      </c>
      <c r="J40" s="263" t="s">
        <v>400</v>
      </c>
      <c r="K40" s="61" t="s">
        <v>374</v>
      </c>
      <c r="L40" s="61" t="s">
        <v>104</v>
      </c>
      <c r="M40" s="64"/>
      <c r="N40" s="143"/>
      <c r="O40" s="143"/>
      <c r="P40" s="280">
        <v>600000</v>
      </c>
      <c r="Q40" s="265">
        <v>0.2</v>
      </c>
      <c r="R40" s="263" t="s">
        <v>392</v>
      </c>
      <c r="S40" s="266" t="s">
        <v>393</v>
      </c>
      <c r="T40" s="61" t="s">
        <v>407</v>
      </c>
      <c r="U40" s="245" t="s">
        <v>325</v>
      </c>
      <c r="V40" s="281">
        <v>600000</v>
      </c>
      <c r="W40" s="146"/>
      <c r="X40" s="147"/>
      <c r="Y40" s="147"/>
      <c r="Z40" s="226"/>
      <c r="AA40" s="282" t="s">
        <v>126</v>
      </c>
      <c r="AB40" s="61"/>
      <c r="AC40" s="61" t="s">
        <v>402</v>
      </c>
      <c r="AD40" s="117">
        <v>45747</v>
      </c>
      <c r="AE40" s="61" t="s">
        <v>403</v>
      </c>
      <c r="AF40" s="64" t="s">
        <v>341</v>
      </c>
      <c r="AG40" s="64"/>
      <c r="AH40" s="64"/>
      <c r="AI40" s="129">
        <v>480000</v>
      </c>
      <c r="AJ40" s="64" t="s">
        <v>382</v>
      </c>
      <c r="AK40" s="64"/>
      <c r="AL40" s="135" t="s">
        <v>408</v>
      </c>
      <c r="AM40" s="259" t="s">
        <v>409</v>
      </c>
    </row>
    <row r="41" ht="70" hidden="1" customHeight="1" spans="1:50">
      <c r="B41" s="172" t="s">
        <v>117</v>
      </c>
      <c r="C41" s="157">
        <v>45636</v>
      </c>
      <c r="D41" s="158">
        <v>21</v>
      </c>
      <c r="E41" s="158" t="s">
        <v>331</v>
      </c>
      <c r="F41" s="158"/>
      <c r="G41" s="158" t="s">
        <v>332</v>
      </c>
      <c r="H41" s="159" t="s">
        <v>410</v>
      </c>
      <c r="I41" s="158" t="s">
        <v>411</v>
      </c>
      <c r="J41" s="158" t="s">
        <v>411</v>
      </c>
      <c r="K41" s="158" t="s">
        <v>374</v>
      </c>
      <c r="L41" s="283" t="s">
        <v>104</v>
      </c>
      <c r="M41" s="159"/>
      <c r="N41" s="143"/>
      <c r="O41" s="143"/>
      <c r="P41" s="284">
        <v>2400000</v>
      </c>
      <c r="Q41" s="162">
        <v>0.02</v>
      </c>
      <c r="R41" s="158" t="s">
        <v>107</v>
      </c>
      <c r="S41" s="157">
        <v>45457</v>
      </c>
      <c r="T41" s="158" t="s">
        <v>412</v>
      </c>
      <c r="U41" s="170" t="s">
        <v>413</v>
      </c>
      <c r="V41" s="164">
        <v>2400000</v>
      </c>
      <c r="W41" s="165"/>
      <c r="X41" s="285"/>
      <c r="Y41" s="285"/>
      <c r="Z41" s="286"/>
      <c r="AA41" s="159" t="s">
        <v>126</v>
      </c>
      <c r="AB41" s="158" t="s">
        <v>127</v>
      </c>
      <c r="AC41" s="158"/>
      <c r="AD41" s="157"/>
      <c r="AE41" s="158"/>
      <c r="AF41" s="159" t="s">
        <v>414</v>
      </c>
      <c r="AG41" s="159"/>
      <c r="AH41" s="287" t="s">
        <v>377</v>
      </c>
      <c r="AI41" s="284">
        <v>2352000</v>
      </c>
      <c r="AJ41" s="287" t="s">
        <v>415</v>
      </c>
      <c r="AK41" s="159"/>
      <c r="AL41" s="288"/>
      <c r="AM41" s="289"/>
    </row>
    <row r="42" ht="42" hidden="1" customHeight="1" spans="1:50">
      <c r="B42" s="260" t="s">
        <v>117</v>
      </c>
      <c r="C42" s="266">
        <v>45636</v>
      </c>
      <c r="D42" s="263">
        <v>22</v>
      </c>
      <c r="E42" s="263" t="s">
        <v>331</v>
      </c>
      <c r="F42" s="263"/>
      <c r="G42" s="263" t="s">
        <v>332</v>
      </c>
      <c r="H42" s="262" t="s">
        <v>416</v>
      </c>
      <c r="I42" s="263" t="s">
        <v>411</v>
      </c>
      <c r="J42" s="263" t="s">
        <v>411</v>
      </c>
      <c r="K42" s="263" t="s">
        <v>374</v>
      </c>
      <c r="L42" s="290" t="s">
        <v>104</v>
      </c>
      <c r="M42" s="291" t="s">
        <v>417</v>
      </c>
      <c r="N42" s="143"/>
      <c r="O42" s="143"/>
      <c r="P42" s="277">
        <v>2250000</v>
      </c>
      <c r="Q42" s="265">
        <v>0.02</v>
      </c>
      <c r="R42" s="263" t="s">
        <v>107</v>
      </c>
      <c r="S42" s="266">
        <v>45457</v>
      </c>
      <c r="T42" s="263" t="s">
        <v>418</v>
      </c>
      <c r="U42" s="267" t="s">
        <v>413</v>
      </c>
      <c r="V42" s="268"/>
      <c r="W42" s="269" t="s">
        <v>125</v>
      </c>
      <c r="X42" s="270"/>
      <c r="Y42" s="292"/>
      <c r="Z42" s="271"/>
      <c r="AA42" s="291" t="s">
        <v>417</v>
      </c>
      <c r="AB42" s="263" t="s">
        <v>110</v>
      </c>
      <c r="AC42" s="263" t="s">
        <v>340</v>
      </c>
      <c r="AD42" s="266">
        <v>45657</v>
      </c>
      <c r="AE42" s="293" t="s">
        <v>419</v>
      </c>
      <c r="AF42" s="262" t="s">
        <v>341</v>
      </c>
      <c r="AG42" s="262"/>
      <c r="AH42" s="272" t="s">
        <v>377</v>
      </c>
      <c r="AI42" s="273">
        <v>0</v>
      </c>
      <c r="AJ42" s="272" t="s">
        <v>420</v>
      </c>
      <c r="AK42" s="262"/>
      <c r="AL42" s="274" t="s">
        <v>421</v>
      </c>
      <c r="AM42" s="275" t="s">
        <v>422</v>
      </c>
    </row>
    <row r="43" ht="42" hidden="1" customHeight="1" spans="1:50">
      <c r="B43" s="260" t="s">
        <v>117</v>
      </c>
      <c r="C43" s="266">
        <v>45636</v>
      </c>
      <c r="D43" s="261">
        <v>23</v>
      </c>
      <c r="E43" s="261" t="s">
        <v>331</v>
      </c>
      <c r="F43" s="261"/>
      <c r="G43" s="261" t="s">
        <v>423</v>
      </c>
      <c r="H43" s="294" t="s">
        <v>424</v>
      </c>
      <c r="I43" s="263" t="s">
        <v>425</v>
      </c>
      <c r="J43" s="263" t="s">
        <v>425</v>
      </c>
      <c r="K43" s="263" t="s">
        <v>374</v>
      </c>
      <c r="L43" s="263" t="s">
        <v>104</v>
      </c>
      <c r="M43" s="295" t="s">
        <v>417</v>
      </c>
      <c r="N43" s="143"/>
      <c r="O43" s="143"/>
      <c r="P43" s="277">
        <v>1080000</v>
      </c>
      <c r="Q43" s="265">
        <v>0.03</v>
      </c>
      <c r="R43" s="261" t="s">
        <v>107</v>
      </c>
      <c r="S43" s="296">
        <v>45471</v>
      </c>
      <c r="T43" s="261" t="s">
        <v>426</v>
      </c>
      <c r="U43" s="297" t="s">
        <v>427</v>
      </c>
      <c r="V43" s="298"/>
      <c r="W43" s="299" t="s">
        <v>125</v>
      </c>
      <c r="X43" s="300"/>
      <c r="Y43" s="301"/>
      <c r="Z43" s="302"/>
      <c r="AA43" s="294" t="s">
        <v>417</v>
      </c>
      <c r="AB43" s="261" t="s">
        <v>127</v>
      </c>
      <c r="AC43" s="261"/>
      <c r="AD43" s="296"/>
      <c r="AE43" s="261"/>
      <c r="AF43" s="294" t="s">
        <v>414</v>
      </c>
      <c r="AG43" s="294"/>
      <c r="AH43" s="303" t="s">
        <v>377</v>
      </c>
      <c r="AI43" s="304">
        <v>0</v>
      </c>
      <c r="AJ43" s="303" t="s">
        <v>428</v>
      </c>
      <c r="AK43" s="294"/>
      <c r="AL43" s="305"/>
      <c r="AM43" s="275" t="s">
        <v>429</v>
      </c>
    </row>
    <row r="44" ht="40" customHeight="1" spans="1:50">
      <c r="A44" s="73"/>
      <c r="B44" s="116" t="s">
        <v>98</v>
      </c>
      <c r="C44" s="117">
        <v>45972</v>
      </c>
      <c r="D44" s="61">
        <v>24</v>
      </c>
      <c r="E44" s="61" t="s">
        <v>430</v>
      </c>
      <c r="F44" s="61"/>
      <c r="G44" s="61" t="s">
        <v>431</v>
      </c>
      <c r="H44" s="64" t="s">
        <v>432</v>
      </c>
      <c r="I44" s="61" t="s">
        <v>433</v>
      </c>
      <c r="J44" s="61" t="s">
        <v>433</v>
      </c>
      <c r="K44" s="61" t="s">
        <v>434</v>
      </c>
      <c r="L44" s="61" t="s">
        <v>104</v>
      </c>
      <c r="M44" s="118" t="s">
        <v>435</v>
      </c>
      <c r="N44" s="116" t="s">
        <v>436</v>
      </c>
      <c r="O44" s="117" t="s">
        <v>106</v>
      </c>
      <c r="P44" s="119">
        <v>800000</v>
      </c>
      <c r="Q44" s="120">
        <v>0.3556</v>
      </c>
      <c r="R44" s="61" t="s">
        <v>107</v>
      </c>
      <c r="S44" s="61">
        <v>45625</v>
      </c>
      <c r="T44" s="61" t="s">
        <v>437</v>
      </c>
      <c r="U44" s="122" t="s">
        <v>438</v>
      </c>
      <c r="V44" s="123"/>
      <c r="W44" s="123">
        <v>800000</v>
      </c>
      <c r="X44" s="124" t="s">
        <v>439</v>
      </c>
      <c r="Y44" s="230">
        <v>45860</v>
      </c>
      <c r="Z44" s="126">
        <v>202706</v>
      </c>
      <c r="AA44" s="127" t="s">
        <v>440</v>
      </c>
      <c r="AB44" s="120" t="s">
        <v>127</v>
      </c>
      <c r="AC44" s="128" t="s">
        <v>402</v>
      </c>
      <c r="AD44" s="117">
        <v>45869</v>
      </c>
      <c r="AE44" s="129"/>
      <c r="AF44" s="130" t="s">
        <v>441</v>
      </c>
      <c r="AG44" s="131" t="s">
        <v>236</v>
      </c>
      <c r="AH44" s="61"/>
      <c r="AI44" s="132"/>
      <c r="AJ44" s="133"/>
      <c r="AK44" s="134" t="s">
        <v>442</v>
      </c>
      <c r="AL44" s="135" t="s">
        <v>443</v>
      </c>
      <c r="AM44" s="136" t="s">
        <v>444</v>
      </c>
      <c r="AN44" s="138"/>
      <c r="AO44" s="137"/>
      <c r="AP44" s="138"/>
      <c r="AQ44" s="138"/>
      <c r="AR44" s="139"/>
      <c r="AS44" s="140"/>
      <c r="AT44" s="138"/>
      <c r="AU44" s="137"/>
      <c r="AV44" s="138"/>
      <c r="AW44" s="56"/>
      <c r="AX44" s="90"/>
    </row>
    <row r="45" ht="40" hidden="1" customHeight="1" spans="1:50">
      <c r="A45" s="73"/>
      <c r="B45" s="116" t="s">
        <v>98</v>
      </c>
      <c r="C45" s="117">
        <v>45972</v>
      </c>
      <c r="D45" s="61">
        <v>26</v>
      </c>
      <c r="E45" s="61" t="s">
        <v>52</v>
      </c>
      <c r="F45" s="61"/>
      <c r="G45" s="61" t="s">
        <v>445</v>
      </c>
      <c r="H45" s="64" t="s">
        <v>446</v>
      </c>
      <c r="I45" s="61" t="s">
        <v>447</v>
      </c>
      <c r="J45" s="61" t="s">
        <v>448</v>
      </c>
      <c r="K45" s="61" t="s">
        <v>134</v>
      </c>
      <c r="L45" s="61" t="s">
        <v>134</v>
      </c>
      <c r="M45" s="118" t="s">
        <v>449</v>
      </c>
      <c r="N45" s="116" t="s">
        <v>104</v>
      </c>
      <c r="O45" s="117" t="s">
        <v>106</v>
      </c>
      <c r="P45" s="119">
        <v>6879600</v>
      </c>
      <c r="Q45" s="120">
        <v>0.118</v>
      </c>
      <c r="R45" s="61" t="s">
        <v>107</v>
      </c>
      <c r="S45" s="61">
        <v>45723</v>
      </c>
      <c r="T45" s="61" t="s">
        <v>450</v>
      </c>
      <c r="U45" s="196" t="s">
        <v>451</v>
      </c>
      <c r="V45" s="190">
        <v>2293200</v>
      </c>
      <c r="W45" s="190"/>
      <c r="X45" s="147"/>
      <c r="Y45" s="197"/>
      <c r="Z45" s="198"/>
      <c r="AA45" s="127" t="s">
        <v>452</v>
      </c>
      <c r="AB45" s="120" t="s">
        <v>110</v>
      </c>
      <c r="AC45" s="128" t="s">
        <v>453</v>
      </c>
      <c r="AD45" s="117">
        <v>46326</v>
      </c>
      <c r="AE45" s="129"/>
      <c r="AF45" s="130" t="s">
        <v>454</v>
      </c>
      <c r="AG45" s="131" t="s">
        <v>112</v>
      </c>
      <c r="AH45" s="61" t="s">
        <v>455</v>
      </c>
      <c r="AI45" s="132">
        <v>1515544</v>
      </c>
      <c r="AJ45" s="133" t="s">
        <v>456</v>
      </c>
      <c r="AK45" s="134" t="s">
        <v>457</v>
      </c>
      <c r="AL45" s="135"/>
      <c r="AM45" s="136" t="s">
        <v>458</v>
      </c>
      <c r="AN45" s="138"/>
      <c r="AO45" s="137"/>
      <c r="AP45" s="138"/>
      <c r="AQ45" s="138"/>
      <c r="AR45" s="139"/>
      <c r="AS45" s="140"/>
      <c r="AT45" s="138"/>
      <c r="AU45" s="137"/>
      <c r="AV45" s="138"/>
      <c r="AW45" s="56"/>
      <c r="AX45" s="90"/>
    </row>
    <row r="46" ht="40" hidden="1" customHeight="1" spans="1:50">
      <c r="A46" s="73"/>
      <c r="B46" s="116" t="s">
        <v>98</v>
      </c>
      <c r="C46" s="117">
        <v>45972</v>
      </c>
      <c r="D46" s="61">
        <v>27</v>
      </c>
      <c r="E46" s="61" t="s">
        <v>52</v>
      </c>
      <c r="F46" s="61"/>
      <c r="G46" s="61" t="s">
        <v>445</v>
      </c>
      <c r="H46" s="64" t="s">
        <v>459</v>
      </c>
      <c r="I46" s="61" t="s">
        <v>447</v>
      </c>
      <c r="J46" s="61" t="s">
        <v>460</v>
      </c>
      <c r="K46" s="61" t="s">
        <v>134</v>
      </c>
      <c r="L46" s="61" t="s">
        <v>134</v>
      </c>
      <c r="M46" s="118" t="s">
        <v>461</v>
      </c>
      <c r="N46" s="116" t="s">
        <v>104</v>
      </c>
      <c r="O46" s="117" t="s">
        <v>106</v>
      </c>
      <c r="P46" s="119">
        <v>4581500</v>
      </c>
      <c r="Q46" s="120">
        <v>0.0734</v>
      </c>
      <c r="R46" s="61" t="s">
        <v>107</v>
      </c>
      <c r="S46" s="61">
        <v>45747</v>
      </c>
      <c r="T46" s="61" t="s">
        <v>462</v>
      </c>
      <c r="U46" s="196" t="s">
        <v>451</v>
      </c>
      <c r="V46" s="190"/>
      <c r="W46" s="190"/>
      <c r="X46" s="147"/>
      <c r="Y46" s="197"/>
      <c r="Z46" s="198"/>
      <c r="AA46" s="127" t="s">
        <v>463</v>
      </c>
      <c r="AB46" s="120" t="s">
        <v>110</v>
      </c>
      <c r="AC46" s="128" t="s">
        <v>453</v>
      </c>
      <c r="AD46" s="117">
        <v>46203</v>
      </c>
      <c r="AE46" s="129"/>
      <c r="AF46" s="130" t="s">
        <v>464</v>
      </c>
      <c r="AG46" s="131" t="s">
        <v>112</v>
      </c>
      <c r="AH46" s="61" t="s">
        <v>455</v>
      </c>
      <c r="AI46" s="132">
        <v>890261</v>
      </c>
      <c r="AJ46" s="133" t="s">
        <v>465</v>
      </c>
      <c r="AK46" s="134" t="s">
        <v>466</v>
      </c>
      <c r="AL46" s="135"/>
      <c r="AM46" s="136" t="s">
        <v>467</v>
      </c>
      <c r="AN46" s="138"/>
      <c r="AO46" s="137"/>
      <c r="AP46" s="138"/>
      <c r="AQ46" s="138"/>
      <c r="AR46" s="139"/>
      <c r="AS46" s="140"/>
      <c r="AT46" s="138"/>
      <c r="AU46" s="137"/>
      <c r="AV46" s="138"/>
      <c r="AW46" s="56"/>
      <c r="AX46" s="90"/>
    </row>
    <row r="47" ht="47" hidden="1" customHeight="1" spans="1:50">
      <c r="A47" s="73"/>
      <c r="B47" s="116" t="s">
        <v>98</v>
      </c>
      <c r="C47" s="117">
        <v>45972</v>
      </c>
      <c r="D47" s="61">
        <v>28</v>
      </c>
      <c r="E47" s="61" t="s">
        <v>52</v>
      </c>
      <c r="F47" s="61"/>
      <c r="G47" s="61" t="s">
        <v>468</v>
      </c>
      <c r="H47" s="64" t="s">
        <v>469</v>
      </c>
      <c r="I47" s="249" t="s">
        <v>470</v>
      </c>
      <c r="J47" s="249"/>
      <c r="K47" s="61" t="s">
        <v>134</v>
      </c>
      <c r="L47" s="61" t="s">
        <v>134</v>
      </c>
      <c r="M47" s="64" t="s">
        <v>471</v>
      </c>
      <c r="N47" s="143" t="s">
        <v>104</v>
      </c>
      <c r="O47" s="117" t="s">
        <v>106</v>
      </c>
      <c r="P47" s="119">
        <v>5573348.12</v>
      </c>
      <c r="Q47" s="306">
        <v>-0.2664</v>
      </c>
      <c r="R47" s="61" t="s">
        <v>107</v>
      </c>
      <c r="S47" s="117">
        <v>45735</v>
      </c>
      <c r="T47" s="129" t="s">
        <v>472</v>
      </c>
      <c r="U47" s="196" t="s">
        <v>473</v>
      </c>
      <c r="V47" s="190"/>
      <c r="W47" s="190"/>
      <c r="X47" s="147"/>
      <c r="Y47" s="147"/>
      <c r="Z47" s="193"/>
      <c r="AA47" s="307" t="s">
        <v>474</v>
      </c>
      <c r="AB47" s="61" t="s">
        <v>110</v>
      </c>
      <c r="AC47" s="61" t="s">
        <v>354</v>
      </c>
      <c r="AD47" s="117">
        <v>46201</v>
      </c>
      <c r="AE47" s="61"/>
      <c r="AF47" s="130" t="s">
        <v>475</v>
      </c>
      <c r="AG47" s="130" t="s">
        <v>112</v>
      </c>
      <c r="AH47" s="116" t="s">
        <v>455</v>
      </c>
      <c r="AI47" s="132">
        <v>0</v>
      </c>
      <c r="AJ47" s="61" t="s">
        <v>476</v>
      </c>
      <c r="AK47" s="64" t="s">
        <v>477</v>
      </c>
      <c r="AL47" s="135"/>
      <c r="AM47" s="259"/>
    </row>
    <row r="48" ht="47" hidden="1" customHeight="1" spans="1:50">
      <c r="A48" s="73"/>
      <c r="B48" s="116" t="s">
        <v>98</v>
      </c>
      <c r="C48" s="117">
        <v>45972</v>
      </c>
      <c r="D48" s="61">
        <v>29</v>
      </c>
      <c r="E48" s="61" t="s">
        <v>41</v>
      </c>
      <c r="F48" s="61"/>
      <c r="G48" s="61" t="s">
        <v>478</v>
      </c>
      <c r="H48" s="64" t="s">
        <v>479</v>
      </c>
      <c r="I48" s="61" t="s">
        <v>480</v>
      </c>
      <c r="J48" s="61"/>
      <c r="K48" s="61" t="s">
        <v>481</v>
      </c>
      <c r="L48" s="61" t="s">
        <v>104</v>
      </c>
      <c r="M48" s="64" t="s">
        <v>482</v>
      </c>
      <c r="N48" s="143" t="s">
        <v>104</v>
      </c>
      <c r="O48" s="117" t="s">
        <v>106</v>
      </c>
      <c r="P48" s="119">
        <v>598000</v>
      </c>
      <c r="Q48" s="120">
        <v>-0.9486</v>
      </c>
      <c r="R48" s="61" t="s">
        <v>107</v>
      </c>
      <c r="S48" s="117">
        <v>45764</v>
      </c>
      <c r="T48" s="129" t="s">
        <v>483</v>
      </c>
      <c r="U48" s="196" t="s">
        <v>484</v>
      </c>
      <c r="V48" s="190">
        <v>179400</v>
      </c>
      <c r="W48" s="190" t="s">
        <v>125</v>
      </c>
      <c r="X48" s="146"/>
      <c r="Y48" s="146"/>
      <c r="Z48" s="193"/>
      <c r="AA48" s="182"/>
      <c r="AB48" s="61" t="s">
        <v>110</v>
      </c>
      <c r="AC48" s="61" t="s">
        <v>485</v>
      </c>
      <c r="AD48" s="117">
        <v>46203</v>
      </c>
      <c r="AE48" s="61"/>
      <c r="AF48" s="130" t="s">
        <v>486</v>
      </c>
      <c r="AG48" s="130" t="s">
        <v>236</v>
      </c>
      <c r="AH48" s="116" t="s">
        <v>236</v>
      </c>
      <c r="AI48" s="132">
        <v>0</v>
      </c>
      <c r="AJ48" s="116" t="s">
        <v>236</v>
      </c>
      <c r="AK48" s="64" t="s">
        <v>487</v>
      </c>
      <c r="AL48" s="135" t="s">
        <v>488</v>
      </c>
      <c r="AM48" s="259" t="s">
        <v>489</v>
      </c>
    </row>
    <row r="49" ht="47" hidden="1" customHeight="1" spans="1:39">
      <c r="A49" s="142"/>
      <c r="B49" s="116" t="s">
        <v>117</v>
      </c>
      <c r="C49" s="117">
        <v>45941</v>
      </c>
      <c r="D49" s="61">
        <v>30</v>
      </c>
      <c r="E49" s="61" t="s">
        <v>52</v>
      </c>
      <c r="F49" s="61"/>
      <c r="G49" s="61" t="s">
        <v>490</v>
      </c>
      <c r="H49" s="64" t="s">
        <v>491</v>
      </c>
      <c r="I49" s="249" t="s">
        <v>492</v>
      </c>
      <c r="J49" s="249"/>
      <c r="K49" s="61" t="s">
        <v>134</v>
      </c>
      <c r="L49" s="61" t="s">
        <v>134</v>
      </c>
      <c r="M49" s="182" t="s">
        <v>493</v>
      </c>
      <c r="N49" s="143" t="s">
        <v>104</v>
      </c>
      <c r="O49" s="143"/>
      <c r="P49" s="220">
        <v>252000</v>
      </c>
      <c r="Q49" s="308"/>
      <c r="R49" s="61" t="s">
        <v>107</v>
      </c>
      <c r="S49" s="117"/>
      <c r="T49" s="129" t="s">
        <v>494</v>
      </c>
      <c r="U49" s="245" t="s">
        <v>495</v>
      </c>
      <c r="V49" s="190">
        <v>252000</v>
      </c>
      <c r="W49" s="146"/>
      <c r="X49" s="146"/>
      <c r="Y49" s="146"/>
      <c r="Z49" s="193"/>
      <c r="AA49" s="182" t="s">
        <v>496</v>
      </c>
      <c r="AB49" s="61" t="s">
        <v>110</v>
      </c>
      <c r="AC49" s="61"/>
      <c r="AD49" s="117"/>
      <c r="AE49" s="61"/>
      <c r="AF49" s="130" t="s">
        <v>497</v>
      </c>
      <c r="AG49" s="130"/>
      <c r="AH49" s="130" t="s">
        <v>455</v>
      </c>
      <c r="AI49" s="309">
        <v>322000</v>
      </c>
      <c r="AJ49" s="64" t="s">
        <v>498</v>
      </c>
      <c r="AK49" s="64" t="s">
        <v>499</v>
      </c>
      <c r="AL49" s="135" t="s">
        <v>500</v>
      </c>
      <c r="AM49" s="259"/>
    </row>
    <row r="50" ht="47" hidden="1" customHeight="1" spans="1:39">
      <c r="A50" s="142"/>
      <c r="B50" s="116" t="s">
        <v>117</v>
      </c>
      <c r="C50" s="117">
        <v>45941</v>
      </c>
      <c r="D50" s="61">
        <v>31</v>
      </c>
      <c r="E50" s="61" t="s">
        <v>52</v>
      </c>
      <c r="F50" s="61"/>
      <c r="G50" s="61" t="s">
        <v>490</v>
      </c>
      <c r="H50" s="64" t="s">
        <v>501</v>
      </c>
      <c r="I50" s="249" t="s">
        <v>492</v>
      </c>
      <c r="J50" s="249"/>
      <c r="K50" s="61" t="s">
        <v>134</v>
      </c>
      <c r="L50" s="61" t="s">
        <v>134</v>
      </c>
      <c r="M50" s="182" t="s">
        <v>493</v>
      </c>
      <c r="N50" s="143" t="s">
        <v>104</v>
      </c>
      <c r="O50" s="143"/>
      <c r="P50" s="220">
        <v>378000</v>
      </c>
      <c r="Q50" s="308"/>
      <c r="R50" s="61" t="s">
        <v>107</v>
      </c>
      <c r="S50" s="117"/>
      <c r="T50" s="129" t="s">
        <v>502</v>
      </c>
      <c r="U50" s="245" t="s">
        <v>503</v>
      </c>
      <c r="V50" s="310">
        <v>378000</v>
      </c>
      <c r="W50" s="146"/>
      <c r="X50" s="146"/>
      <c r="Y50" s="146"/>
      <c r="Z50" s="193"/>
      <c r="AA50" s="182" t="s">
        <v>496</v>
      </c>
      <c r="AB50" s="61" t="s">
        <v>110</v>
      </c>
      <c r="AC50" s="61"/>
      <c r="AD50" s="117"/>
      <c r="AE50" s="61"/>
      <c r="AF50" s="130" t="s">
        <v>497</v>
      </c>
      <c r="AG50" s="130"/>
      <c r="AH50" s="130" t="s">
        <v>455</v>
      </c>
      <c r="AI50" s="309">
        <v>378000</v>
      </c>
      <c r="AJ50" s="64" t="s">
        <v>504</v>
      </c>
      <c r="AK50" s="64" t="s">
        <v>505</v>
      </c>
      <c r="AL50" s="135" t="s">
        <v>500</v>
      </c>
      <c r="AM50" s="259"/>
    </row>
    <row r="51" ht="47" hidden="1" customHeight="1" spans="1:39">
      <c r="A51" s="73"/>
      <c r="B51" s="116" t="s">
        <v>98</v>
      </c>
      <c r="C51" s="117">
        <v>45972</v>
      </c>
      <c r="D51" s="61">
        <v>32</v>
      </c>
      <c r="E51" s="61" t="s">
        <v>52</v>
      </c>
      <c r="F51" s="61"/>
      <c r="G51" s="61" t="s">
        <v>506</v>
      </c>
      <c r="H51" s="64" t="s">
        <v>507</v>
      </c>
      <c r="I51" s="61" t="s">
        <v>508</v>
      </c>
      <c r="J51" s="220" t="s">
        <v>508</v>
      </c>
      <c r="K51" s="129" t="s">
        <v>434</v>
      </c>
      <c r="L51" s="64" t="s">
        <v>104</v>
      </c>
      <c r="M51" s="64" t="s">
        <v>509</v>
      </c>
      <c r="N51" s="143" t="s">
        <v>104</v>
      </c>
      <c r="O51" s="117" t="s">
        <v>106</v>
      </c>
      <c r="P51" s="119">
        <v>1866312</v>
      </c>
      <c r="Q51" s="120">
        <v>0.0671</v>
      </c>
      <c r="R51" s="61" t="s">
        <v>107</v>
      </c>
      <c r="S51" s="121">
        <v>45838</v>
      </c>
      <c r="T51" s="61" t="s">
        <v>510</v>
      </c>
      <c r="U51" s="311" t="s">
        <v>511</v>
      </c>
      <c r="V51" s="190">
        <v>559893.6</v>
      </c>
      <c r="W51" s="190"/>
      <c r="X51" s="312"/>
      <c r="Y51" s="147"/>
      <c r="Z51" s="193"/>
      <c r="AA51" s="129"/>
      <c r="AB51" s="116" t="s">
        <v>110</v>
      </c>
      <c r="AC51" s="117" t="s">
        <v>512</v>
      </c>
      <c r="AD51" s="121">
        <v>46142</v>
      </c>
      <c r="AE51" s="73"/>
      <c r="AF51" s="130" t="s">
        <v>513</v>
      </c>
      <c r="AG51" s="130" t="s">
        <v>112</v>
      </c>
      <c r="AH51" s="116" t="s">
        <v>514</v>
      </c>
      <c r="AI51" s="132">
        <v>522091.08</v>
      </c>
      <c r="AJ51" s="61" t="s">
        <v>515</v>
      </c>
      <c r="AK51" s="129" t="s">
        <v>516</v>
      </c>
      <c r="AL51" s="135"/>
      <c r="AM51" s="313" t="s">
        <v>517</v>
      </c>
    </row>
    <row r="52" ht="47" hidden="1" customHeight="1" spans="1:39">
      <c r="A52" s="314"/>
      <c r="B52" s="257" t="s">
        <v>117</v>
      </c>
      <c r="C52" s="314"/>
      <c r="D52" s="249">
        <v>33</v>
      </c>
      <c r="E52" s="249" t="s">
        <v>47</v>
      </c>
      <c r="F52" s="249"/>
      <c r="G52" s="249" t="s">
        <v>506</v>
      </c>
      <c r="H52" s="315" t="s">
        <v>518</v>
      </c>
      <c r="I52" s="61" t="s">
        <v>519</v>
      </c>
      <c r="J52" s="61" t="s">
        <v>519</v>
      </c>
      <c r="K52" s="61" t="s">
        <v>520</v>
      </c>
      <c r="L52" s="61" t="s">
        <v>104</v>
      </c>
      <c r="M52" s="116" t="s">
        <v>521</v>
      </c>
      <c r="N52" s="316"/>
      <c r="O52" s="316"/>
      <c r="P52" s="220">
        <v>0</v>
      </c>
      <c r="Q52" s="128"/>
      <c r="R52" s="249" t="s">
        <v>107</v>
      </c>
      <c r="S52" s="317"/>
      <c r="T52" s="249" t="s">
        <v>522</v>
      </c>
      <c r="U52" s="318" t="s">
        <v>523</v>
      </c>
      <c r="V52" s="224"/>
      <c r="W52" s="319"/>
      <c r="X52" s="319"/>
      <c r="Y52" s="320"/>
      <c r="Z52" s="321"/>
      <c r="AA52" s="249" t="s">
        <v>137</v>
      </c>
      <c r="AB52" s="249"/>
      <c r="AC52" s="317"/>
      <c r="AD52" s="322"/>
      <c r="AE52" s="308"/>
      <c r="AF52" s="323" t="s">
        <v>524</v>
      </c>
      <c r="AG52" s="323"/>
      <c r="AH52" s="315" t="s">
        <v>525</v>
      </c>
      <c r="AI52" s="315"/>
      <c r="AJ52" s="41"/>
      <c r="AK52" s="315"/>
      <c r="AL52" s="324"/>
      <c r="AM52" s="259"/>
    </row>
    <row r="53" ht="47" hidden="1" customHeight="1" spans="1:39">
      <c r="A53" s="73"/>
      <c r="B53" s="116" t="s">
        <v>98</v>
      </c>
      <c r="C53" s="142"/>
      <c r="D53" s="61"/>
      <c r="E53" s="61" t="s">
        <v>52</v>
      </c>
      <c r="F53" s="61"/>
      <c r="G53" s="61" t="s">
        <v>506</v>
      </c>
      <c r="H53" s="64" t="s">
        <v>526</v>
      </c>
      <c r="I53" s="61" t="s">
        <v>519</v>
      </c>
      <c r="J53" s="61" t="s">
        <v>519</v>
      </c>
      <c r="K53" s="61" t="s">
        <v>520</v>
      </c>
      <c r="L53" s="61" t="s">
        <v>104</v>
      </c>
      <c r="M53" s="130" t="s">
        <v>527</v>
      </c>
      <c r="N53" s="143" t="s">
        <v>104</v>
      </c>
      <c r="O53" s="143" t="s">
        <v>157</v>
      </c>
      <c r="P53" s="119">
        <v>1030296</v>
      </c>
      <c r="Q53" s="120"/>
      <c r="R53" s="61" t="s">
        <v>107</v>
      </c>
      <c r="S53" s="117">
        <v>45974</v>
      </c>
      <c r="T53" s="61" t="s">
        <v>528</v>
      </c>
      <c r="U53" s="325" t="s">
        <v>523</v>
      </c>
      <c r="V53" s="123">
        <v>927266.4</v>
      </c>
      <c r="W53" s="123"/>
      <c r="X53" s="124"/>
      <c r="Y53" s="124"/>
      <c r="Z53" s="258"/>
      <c r="AA53" s="61"/>
      <c r="AB53" s="116" t="s">
        <v>110</v>
      </c>
      <c r="AC53" s="117" t="s">
        <v>529</v>
      </c>
      <c r="AD53" s="121">
        <v>46356</v>
      </c>
      <c r="AE53" s="128"/>
      <c r="AF53" s="130" t="s">
        <v>530</v>
      </c>
      <c r="AG53" s="130" t="s">
        <v>112</v>
      </c>
      <c r="AH53" s="61" t="s">
        <v>531</v>
      </c>
      <c r="AI53" s="132">
        <v>880912.8</v>
      </c>
      <c r="AJ53" s="326" t="s">
        <v>532</v>
      </c>
      <c r="AK53" s="64" t="s">
        <v>533</v>
      </c>
      <c r="AL53" s="327"/>
      <c r="AM53" s="328"/>
    </row>
    <row r="54" ht="47" hidden="1" customHeight="1" spans="1:39">
      <c r="A54" s="73"/>
      <c r="B54" s="116" t="s">
        <v>98</v>
      </c>
      <c r="C54" s="142"/>
      <c r="D54" s="61"/>
      <c r="E54" s="61"/>
      <c r="F54" s="61"/>
      <c r="G54" s="61" t="s">
        <v>506</v>
      </c>
      <c r="H54" s="64" t="s">
        <v>534</v>
      </c>
      <c r="I54" s="61" t="s">
        <v>519</v>
      </c>
      <c r="J54" s="61" t="s">
        <v>519</v>
      </c>
      <c r="K54" s="61" t="s">
        <v>520</v>
      </c>
      <c r="L54" s="61" t="s">
        <v>104</v>
      </c>
      <c r="M54" s="116" t="s">
        <v>535</v>
      </c>
      <c r="N54" s="143" t="s">
        <v>104</v>
      </c>
      <c r="O54" s="143" t="s">
        <v>157</v>
      </c>
      <c r="P54" s="119">
        <v>3733944</v>
      </c>
      <c r="Q54" s="120"/>
      <c r="R54" s="61" t="s">
        <v>107</v>
      </c>
      <c r="S54" s="329" t="s">
        <v>536</v>
      </c>
      <c r="T54" s="61" t="s">
        <v>537</v>
      </c>
      <c r="U54" s="330" t="s">
        <v>523</v>
      </c>
      <c r="V54" s="190">
        <v>3360549.6</v>
      </c>
      <c r="W54" s="190"/>
      <c r="X54" s="147"/>
      <c r="Y54" s="147"/>
      <c r="Z54" s="193"/>
      <c r="AA54" s="61"/>
      <c r="AB54" s="116" t="s">
        <v>110</v>
      </c>
      <c r="AC54" s="117" t="s">
        <v>538</v>
      </c>
      <c r="AD54" s="121">
        <v>46112</v>
      </c>
      <c r="AE54" s="128"/>
      <c r="AF54" s="130" t="s">
        <v>539</v>
      </c>
      <c r="AG54" s="130" t="s">
        <v>112</v>
      </c>
      <c r="AH54" s="61" t="s">
        <v>344</v>
      </c>
      <c r="AI54" s="132"/>
      <c r="AJ54" s="326" t="s">
        <v>540</v>
      </c>
      <c r="AK54" s="64" t="s">
        <v>533</v>
      </c>
      <c r="AL54" s="327"/>
      <c r="AM54" s="328"/>
    </row>
    <row r="55" ht="50" hidden="1" customHeight="1" spans="1:39">
      <c r="A55" s="73"/>
      <c r="B55" s="116" t="s">
        <v>98</v>
      </c>
      <c r="C55" s="117">
        <v>45972</v>
      </c>
      <c r="D55" s="61">
        <v>32</v>
      </c>
      <c r="E55" s="61" t="s">
        <v>9</v>
      </c>
      <c r="F55" s="61"/>
      <c r="G55" s="61" t="s">
        <v>541</v>
      </c>
      <c r="H55" s="64" t="s">
        <v>542</v>
      </c>
      <c r="I55" s="61"/>
      <c r="J55" s="61"/>
      <c r="K55" s="61" t="s">
        <v>355</v>
      </c>
      <c r="L55" s="61" t="s">
        <v>104</v>
      </c>
      <c r="M55" s="130" t="s">
        <v>543</v>
      </c>
      <c r="N55" s="143" t="s">
        <v>104</v>
      </c>
      <c r="O55" s="117" t="s">
        <v>106</v>
      </c>
      <c r="P55" s="119">
        <v>3420000</v>
      </c>
      <c r="Q55" s="120">
        <v>0.0588</v>
      </c>
      <c r="R55" s="61" t="s">
        <v>107</v>
      </c>
      <c r="S55" s="117">
        <v>45926</v>
      </c>
      <c r="T55" s="129" t="s">
        <v>544</v>
      </c>
      <c r="U55" s="330" t="s">
        <v>545</v>
      </c>
      <c r="V55" s="190">
        <v>1026000</v>
      </c>
      <c r="W55" s="190"/>
      <c r="X55" s="146"/>
      <c r="Y55" s="146"/>
      <c r="Z55" s="193"/>
      <c r="AA55" s="61">
        <v>202603</v>
      </c>
      <c r="AB55" s="127" t="s">
        <v>110</v>
      </c>
      <c r="AC55" s="117" t="s">
        <v>546</v>
      </c>
      <c r="AD55" s="121">
        <v>46112</v>
      </c>
      <c r="AE55" s="128"/>
      <c r="AF55" s="130"/>
      <c r="AG55" s="130" t="s">
        <v>112</v>
      </c>
      <c r="AH55" s="116" t="s">
        <v>344</v>
      </c>
      <c r="AI55" s="132">
        <v>939816</v>
      </c>
      <c r="AJ55" s="116" t="s">
        <v>547</v>
      </c>
      <c r="AK55" s="130" t="s">
        <v>548</v>
      </c>
      <c r="AL55" s="327"/>
      <c r="AM55" s="328"/>
    </row>
    <row r="56" ht="50" hidden="1" customHeight="1" spans="1:39">
      <c r="A56" s="142"/>
      <c r="B56" s="116" t="s">
        <v>117</v>
      </c>
      <c r="C56" s="41"/>
      <c r="D56" s="61">
        <v>33</v>
      </c>
      <c r="E56" s="61" t="s">
        <v>43</v>
      </c>
      <c r="F56" s="61"/>
      <c r="G56" s="61" t="s">
        <v>549</v>
      </c>
      <c r="H56" s="64" t="s">
        <v>550</v>
      </c>
      <c r="I56" s="61" t="s">
        <v>551</v>
      </c>
      <c r="J56" s="61" t="s">
        <v>552</v>
      </c>
      <c r="K56" s="61" t="s">
        <v>244</v>
      </c>
      <c r="L56" s="61" t="s">
        <v>553</v>
      </c>
      <c r="M56" s="331"/>
      <c r="N56" s="41"/>
      <c r="O56" s="41"/>
      <c r="P56" s="116">
        <v>0</v>
      </c>
      <c r="Q56" s="120" t="s">
        <v>554</v>
      </c>
      <c r="R56" s="61" t="s">
        <v>107</v>
      </c>
      <c r="S56" s="117">
        <v>45923</v>
      </c>
      <c r="T56" s="129" t="s">
        <v>555</v>
      </c>
      <c r="U56" s="332" t="s">
        <v>556</v>
      </c>
      <c r="V56" s="146"/>
      <c r="W56" s="146"/>
      <c r="X56" s="146"/>
      <c r="Y56" s="146"/>
      <c r="Z56" s="333"/>
      <c r="AA56" s="182"/>
      <c r="AB56" s="127"/>
      <c r="AC56" s="117"/>
      <c r="AD56" s="121"/>
      <c r="AE56" s="128"/>
      <c r="AF56" s="130"/>
      <c r="AG56" s="130"/>
      <c r="AH56" s="130"/>
      <c r="AI56" s="116"/>
      <c r="AJ56" s="130"/>
      <c r="AK56" s="130" t="s">
        <v>557</v>
      </c>
      <c r="AL56" s="153"/>
      <c r="AM56" s="188"/>
    </row>
    <row r="57" ht="92" hidden="1" customHeight="1" spans="1:39">
      <c r="A57" s="73"/>
      <c r="B57" s="116" t="s">
        <v>98</v>
      </c>
      <c r="C57" s="117">
        <v>45972</v>
      </c>
      <c r="D57" s="61">
        <v>33</v>
      </c>
      <c r="E57" s="61" t="s">
        <v>43</v>
      </c>
      <c r="F57" s="61"/>
      <c r="G57" s="61" t="s">
        <v>549</v>
      </c>
      <c r="H57" s="64" t="s">
        <v>558</v>
      </c>
      <c r="I57" s="61" t="s">
        <v>551</v>
      </c>
      <c r="J57" s="61" t="s">
        <v>552</v>
      </c>
      <c r="K57" s="61" t="s">
        <v>244</v>
      </c>
      <c r="L57" s="61" t="s">
        <v>553</v>
      </c>
      <c r="M57" s="334" t="s">
        <v>559</v>
      </c>
      <c r="N57" s="143" t="s">
        <v>104</v>
      </c>
      <c r="O57" s="143" t="s">
        <v>560</v>
      </c>
      <c r="P57" s="119">
        <v>22240009.76</v>
      </c>
      <c r="Q57" s="120"/>
      <c r="R57" s="61" t="s">
        <v>107</v>
      </c>
      <c r="S57" s="117">
        <v>45928</v>
      </c>
      <c r="T57" s="129" t="s">
        <v>561</v>
      </c>
      <c r="U57" s="330" t="s">
        <v>556</v>
      </c>
      <c r="V57" s="190">
        <v>11120004.88</v>
      </c>
      <c r="W57" s="335"/>
      <c r="X57" s="336"/>
      <c r="Y57" s="337"/>
      <c r="Z57" s="338"/>
      <c r="AA57" s="339" t="s">
        <v>562</v>
      </c>
      <c r="AB57" s="127" t="s">
        <v>110</v>
      </c>
      <c r="AC57" s="340" t="s">
        <v>354</v>
      </c>
      <c r="AD57" s="341">
        <v>46265</v>
      </c>
      <c r="AE57" s="128"/>
      <c r="AF57" s="130" t="s">
        <v>563</v>
      </c>
      <c r="AG57" s="130" t="s">
        <v>112</v>
      </c>
      <c r="AH57" s="116" t="s">
        <v>455</v>
      </c>
      <c r="AI57" s="132" t="s">
        <v>564</v>
      </c>
      <c r="AJ57" s="116" t="s">
        <v>565</v>
      </c>
      <c r="AK57" s="130" t="s">
        <v>557</v>
      </c>
      <c r="AL57" s="153" t="s">
        <v>566</v>
      </c>
      <c r="AM57" s="339" t="s">
        <v>567</v>
      </c>
    </row>
    <row r="58" ht="73" customHeight="1" spans="1:39">
      <c r="A58" s="73"/>
      <c r="B58" s="116" t="s">
        <v>98</v>
      </c>
      <c r="C58" s="117">
        <v>45972</v>
      </c>
      <c r="D58" s="61">
        <v>33</v>
      </c>
      <c r="E58" s="61"/>
      <c r="F58" s="61"/>
      <c r="G58" s="61" t="s">
        <v>549</v>
      </c>
      <c r="H58" s="61" t="s">
        <v>568</v>
      </c>
      <c r="I58" s="61" t="s">
        <v>551</v>
      </c>
      <c r="J58" s="64" t="s">
        <v>552</v>
      </c>
      <c r="K58" s="61" t="s">
        <v>244</v>
      </c>
      <c r="L58" s="61" t="s">
        <v>553</v>
      </c>
      <c r="M58" s="342"/>
      <c r="N58" s="143" t="s">
        <v>226</v>
      </c>
      <c r="O58" s="143" t="s">
        <v>560</v>
      </c>
      <c r="P58" s="119">
        <v>2910000</v>
      </c>
      <c r="Q58" s="120" t="s">
        <v>554</v>
      </c>
      <c r="R58" s="116" t="s">
        <v>107</v>
      </c>
      <c r="S58" s="117">
        <v>45928</v>
      </c>
      <c r="T58" s="61" t="s">
        <v>569</v>
      </c>
      <c r="U58" s="144" t="s">
        <v>570</v>
      </c>
      <c r="V58" s="190">
        <v>1455000</v>
      </c>
      <c r="W58" s="343">
        <v>1455000</v>
      </c>
      <c r="X58" s="344" t="s">
        <v>571</v>
      </c>
      <c r="Y58" s="345">
        <v>46112</v>
      </c>
      <c r="Z58" s="346">
        <v>202612</v>
      </c>
      <c r="AA58" s="339" t="s">
        <v>572</v>
      </c>
      <c r="AB58" s="127" t="s">
        <v>110</v>
      </c>
      <c r="AC58" s="340" t="s">
        <v>354</v>
      </c>
      <c r="AD58" s="341">
        <v>46112</v>
      </c>
      <c r="AE58" s="117"/>
      <c r="AF58" s="151" t="s">
        <v>563</v>
      </c>
      <c r="AG58" s="130" t="s">
        <v>112</v>
      </c>
      <c r="AH58" s="128" t="s">
        <v>455</v>
      </c>
      <c r="AI58" s="132"/>
      <c r="AJ58" s="116"/>
      <c r="AK58" s="116" t="s">
        <v>557</v>
      </c>
      <c r="AL58" s="153" t="s">
        <v>566</v>
      </c>
      <c r="AM58" s="339" t="s">
        <v>573</v>
      </c>
    </row>
    <row r="59" ht="89" customHeight="1" spans="1:39">
      <c r="A59" s="73"/>
      <c r="B59" s="116" t="s">
        <v>98</v>
      </c>
      <c r="C59" s="117">
        <v>45972</v>
      </c>
      <c r="D59" s="61">
        <v>33</v>
      </c>
      <c r="E59" s="61"/>
      <c r="F59" s="61"/>
      <c r="G59" s="61" t="s">
        <v>549</v>
      </c>
      <c r="H59" s="64" t="s">
        <v>574</v>
      </c>
      <c r="I59" s="61" t="s">
        <v>551</v>
      </c>
      <c r="J59" s="61" t="s">
        <v>552</v>
      </c>
      <c r="K59" s="61" t="s">
        <v>244</v>
      </c>
      <c r="L59" s="61" t="s">
        <v>553</v>
      </c>
      <c r="M59" s="342"/>
      <c r="N59" s="143" t="s">
        <v>226</v>
      </c>
      <c r="O59" s="143" t="s">
        <v>560</v>
      </c>
      <c r="P59" s="119">
        <v>7534381.1</v>
      </c>
      <c r="Q59" s="120" t="s">
        <v>554</v>
      </c>
      <c r="R59" s="61" t="s">
        <v>107</v>
      </c>
      <c r="S59" s="117">
        <v>45928</v>
      </c>
      <c r="T59" s="129" t="s">
        <v>575</v>
      </c>
      <c r="U59" s="330" t="s">
        <v>556</v>
      </c>
      <c r="V59" s="190">
        <v>3767190.55</v>
      </c>
      <c r="W59" s="343">
        <v>3767191</v>
      </c>
      <c r="X59" s="344" t="s">
        <v>571</v>
      </c>
      <c r="Y59" s="345">
        <v>46112</v>
      </c>
      <c r="Z59" s="346">
        <v>202612</v>
      </c>
      <c r="AA59" s="339" t="s">
        <v>576</v>
      </c>
      <c r="AB59" s="127" t="s">
        <v>110</v>
      </c>
      <c r="AC59" s="340" t="s">
        <v>354</v>
      </c>
      <c r="AD59" s="341">
        <v>46112</v>
      </c>
      <c r="AE59" s="128"/>
      <c r="AF59" s="130" t="s">
        <v>563</v>
      </c>
      <c r="AG59" s="130" t="s">
        <v>112</v>
      </c>
      <c r="AH59" s="116" t="s">
        <v>455</v>
      </c>
      <c r="AI59" s="132"/>
      <c r="AJ59" s="116"/>
      <c r="AK59" s="130" t="s">
        <v>557</v>
      </c>
      <c r="AL59" s="153" t="s">
        <v>566</v>
      </c>
      <c r="AM59" s="339" t="s">
        <v>573</v>
      </c>
    </row>
    <row r="60" ht="98" customHeight="1" spans="1:39">
      <c r="A60" s="73"/>
      <c r="B60" s="116" t="s">
        <v>98</v>
      </c>
      <c r="C60" s="117"/>
      <c r="D60" s="61">
        <v>33</v>
      </c>
      <c r="E60" s="61" t="s">
        <v>43</v>
      </c>
      <c r="F60" s="61"/>
      <c r="G60" s="61" t="s">
        <v>549</v>
      </c>
      <c r="H60" s="64" t="s">
        <v>577</v>
      </c>
      <c r="I60" s="61" t="s">
        <v>551</v>
      </c>
      <c r="J60" s="61" t="s">
        <v>552</v>
      </c>
      <c r="K60" s="61" t="s">
        <v>578</v>
      </c>
      <c r="L60" s="61" t="s">
        <v>104</v>
      </c>
      <c r="M60" s="347" t="s">
        <v>579</v>
      </c>
      <c r="N60" s="115" t="s">
        <v>226</v>
      </c>
      <c r="O60" s="143" t="s">
        <v>560</v>
      </c>
      <c r="P60" s="348">
        <v>18238144</v>
      </c>
      <c r="Q60" s="120"/>
      <c r="R60" s="61" t="s">
        <v>107</v>
      </c>
      <c r="S60" s="340">
        <v>46093</v>
      </c>
      <c r="T60" s="129" t="s">
        <v>580</v>
      </c>
      <c r="U60" s="330" t="s">
        <v>556</v>
      </c>
      <c r="V60" s="310"/>
      <c r="W60" s="343">
        <v>9119072</v>
      </c>
      <c r="X60" s="344" t="s">
        <v>581</v>
      </c>
      <c r="Y60" s="345">
        <v>45994</v>
      </c>
      <c r="Z60" s="349">
        <v>202606</v>
      </c>
      <c r="AA60" s="350" t="s">
        <v>582</v>
      </c>
      <c r="AB60" s="127" t="s">
        <v>110</v>
      </c>
      <c r="AC60" s="340" t="s">
        <v>354</v>
      </c>
      <c r="AD60" s="341">
        <v>46295</v>
      </c>
      <c r="AE60" s="128"/>
      <c r="AF60" s="130" t="s">
        <v>563</v>
      </c>
      <c r="AG60" s="130" t="s">
        <v>112</v>
      </c>
      <c r="AH60" s="116" t="s">
        <v>455</v>
      </c>
      <c r="AI60" s="132">
        <v>0</v>
      </c>
      <c r="AJ60" s="116" t="s">
        <v>583</v>
      </c>
      <c r="AK60" s="130" t="s">
        <v>584</v>
      </c>
      <c r="AL60" s="351" t="s">
        <v>585</v>
      </c>
      <c r="AM60" s="339" t="s">
        <v>586</v>
      </c>
    </row>
    <row r="61" ht="71" customHeight="1" spans="1:39">
      <c r="A61" s="73"/>
      <c r="B61" s="116" t="s">
        <v>98</v>
      </c>
      <c r="C61" s="117"/>
      <c r="D61" s="61">
        <v>33</v>
      </c>
      <c r="E61" s="61"/>
      <c r="F61" s="61"/>
      <c r="G61" s="61" t="s">
        <v>549</v>
      </c>
      <c r="H61" s="64" t="s">
        <v>587</v>
      </c>
      <c r="I61" s="61" t="s">
        <v>551</v>
      </c>
      <c r="J61" s="61" t="s">
        <v>552</v>
      </c>
      <c r="K61" s="61" t="s">
        <v>588</v>
      </c>
      <c r="L61" s="61" t="s">
        <v>104</v>
      </c>
      <c r="M61" s="347"/>
      <c r="N61" s="115" t="s">
        <v>226</v>
      </c>
      <c r="O61" s="143" t="s">
        <v>560</v>
      </c>
      <c r="P61" s="119">
        <v>1506876.22</v>
      </c>
      <c r="Q61" s="120"/>
      <c r="R61" s="61" t="s">
        <v>107</v>
      </c>
      <c r="S61" s="117" t="s">
        <v>589</v>
      </c>
      <c r="T61" s="129" t="s">
        <v>590</v>
      </c>
      <c r="U61" s="330" t="s">
        <v>556</v>
      </c>
      <c r="V61" s="352">
        <v>1166497.4</v>
      </c>
      <c r="W61" s="353">
        <v>340379</v>
      </c>
      <c r="X61" s="354" t="s">
        <v>571</v>
      </c>
      <c r="Y61" s="345">
        <v>46108</v>
      </c>
      <c r="Z61" s="346">
        <v>202612</v>
      </c>
      <c r="AA61" s="339" t="s">
        <v>591</v>
      </c>
      <c r="AB61" s="127" t="s">
        <v>110</v>
      </c>
      <c r="AC61" s="340" t="s">
        <v>354</v>
      </c>
      <c r="AD61" s="341">
        <v>46203</v>
      </c>
      <c r="AE61" s="128"/>
      <c r="AF61" s="130" t="s">
        <v>563</v>
      </c>
      <c r="AG61" s="130" t="s">
        <v>112</v>
      </c>
      <c r="AH61" s="116" t="s">
        <v>455</v>
      </c>
      <c r="AI61" s="132">
        <v>0</v>
      </c>
      <c r="AJ61" s="116" t="s">
        <v>583</v>
      </c>
      <c r="AK61" s="130" t="s">
        <v>584</v>
      </c>
      <c r="AL61" s="351" t="s">
        <v>585</v>
      </c>
      <c r="AM61" s="339" t="s">
        <v>592</v>
      </c>
    </row>
    <row r="62" ht="71" customHeight="1" spans="1:39">
      <c r="A62" s="73"/>
      <c r="B62" s="116" t="s">
        <v>98</v>
      </c>
      <c r="C62" s="117"/>
      <c r="D62" s="61">
        <v>33</v>
      </c>
      <c r="E62" s="61"/>
      <c r="F62" s="61"/>
      <c r="G62" s="61" t="s">
        <v>549</v>
      </c>
      <c r="H62" s="64" t="s">
        <v>593</v>
      </c>
      <c r="I62" s="61" t="s">
        <v>551</v>
      </c>
      <c r="J62" s="61" t="s">
        <v>552</v>
      </c>
      <c r="K62" s="61" t="s">
        <v>578</v>
      </c>
      <c r="L62" s="61" t="s">
        <v>104</v>
      </c>
      <c r="M62" s="347"/>
      <c r="N62" s="115" t="s">
        <v>226</v>
      </c>
      <c r="O62" s="143" t="s">
        <v>560</v>
      </c>
      <c r="P62" s="119">
        <v>1455000</v>
      </c>
      <c r="Q62" s="120"/>
      <c r="R62" s="61" t="s">
        <v>107</v>
      </c>
      <c r="S62" s="117" t="s">
        <v>589</v>
      </c>
      <c r="T62" s="129" t="s">
        <v>594</v>
      </c>
      <c r="U62" s="330" t="s">
        <v>556</v>
      </c>
      <c r="V62" s="355"/>
      <c r="W62" s="123">
        <v>727500</v>
      </c>
      <c r="X62" s="356" t="s">
        <v>581</v>
      </c>
      <c r="Y62" s="345">
        <v>45994</v>
      </c>
      <c r="Z62" s="357">
        <v>202606</v>
      </c>
      <c r="AA62" s="350" t="s">
        <v>582</v>
      </c>
      <c r="AB62" s="127" t="s">
        <v>110</v>
      </c>
      <c r="AC62" s="340" t="s">
        <v>354</v>
      </c>
      <c r="AD62" s="341">
        <v>46203</v>
      </c>
      <c r="AE62" s="128"/>
      <c r="AF62" s="130" t="s">
        <v>563</v>
      </c>
      <c r="AG62" s="130" t="s">
        <v>112</v>
      </c>
      <c r="AH62" s="116" t="s">
        <v>455</v>
      </c>
      <c r="AI62" s="132">
        <v>0</v>
      </c>
      <c r="AJ62" s="116" t="s">
        <v>583</v>
      </c>
      <c r="AK62" s="130" t="s">
        <v>595</v>
      </c>
      <c r="AL62" s="153" t="s">
        <v>585</v>
      </c>
      <c r="AM62" s="339" t="s">
        <v>586</v>
      </c>
    </row>
    <row r="63" ht="71" customHeight="1" spans="1:39">
      <c r="A63" s="73"/>
      <c r="B63" s="116" t="s">
        <v>98</v>
      </c>
      <c r="C63" s="117"/>
      <c r="D63" s="61">
        <v>33</v>
      </c>
      <c r="E63" s="61"/>
      <c r="F63" s="61"/>
      <c r="G63" s="61" t="s">
        <v>549</v>
      </c>
      <c r="H63" s="64" t="s">
        <v>596</v>
      </c>
      <c r="I63" s="61" t="s">
        <v>551</v>
      </c>
      <c r="J63" s="61" t="s">
        <v>552</v>
      </c>
      <c r="K63" s="61" t="s">
        <v>578</v>
      </c>
      <c r="L63" s="61" t="s">
        <v>104</v>
      </c>
      <c r="M63" s="347"/>
      <c r="N63" s="115" t="s">
        <v>226</v>
      </c>
      <c r="O63" s="143" t="s">
        <v>560</v>
      </c>
      <c r="P63" s="119">
        <v>4365000</v>
      </c>
      <c r="Q63" s="120"/>
      <c r="R63" s="61" t="s">
        <v>107</v>
      </c>
      <c r="S63" s="117" t="s">
        <v>597</v>
      </c>
      <c r="T63" s="129" t="s">
        <v>598</v>
      </c>
      <c r="U63" s="330" t="s">
        <v>556</v>
      </c>
      <c r="V63" s="310"/>
      <c r="W63" s="190">
        <v>2182500</v>
      </c>
      <c r="X63" s="356" t="s">
        <v>581</v>
      </c>
      <c r="Y63" s="345">
        <v>45994</v>
      </c>
      <c r="Z63" s="357">
        <v>202606</v>
      </c>
      <c r="AA63" s="350" t="s">
        <v>582</v>
      </c>
      <c r="AB63" s="127" t="s">
        <v>110</v>
      </c>
      <c r="AC63" s="340" t="s">
        <v>354</v>
      </c>
      <c r="AD63" s="341">
        <v>46203</v>
      </c>
      <c r="AE63" s="128"/>
      <c r="AF63" s="130" t="s">
        <v>563</v>
      </c>
      <c r="AG63" s="130" t="s">
        <v>112</v>
      </c>
      <c r="AH63" s="116" t="s">
        <v>455</v>
      </c>
      <c r="AI63" s="132">
        <v>0</v>
      </c>
      <c r="AJ63" s="116" t="s">
        <v>583</v>
      </c>
      <c r="AK63" s="130" t="s">
        <v>584</v>
      </c>
      <c r="AL63" s="153" t="s">
        <v>585</v>
      </c>
      <c r="AM63" s="339" t="s">
        <v>586</v>
      </c>
    </row>
    <row r="64" ht="71" customHeight="1" spans="1:39">
      <c r="A64" s="73"/>
      <c r="B64" s="116" t="s">
        <v>98</v>
      </c>
      <c r="C64" s="117"/>
      <c r="D64" s="61">
        <v>33</v>
      </c>
      <c r="E64" s="61"/>
      <c r="F64" s="61"/>
      <c r="G64" s="61" t="s">
        <v>549</v>
      </c>
      <c r="H64" s="64" t="s">
        <v>599</v>
      </c>
      <c r="I64" s="61" t="s">
        <v>551</v>
      </c>
      <c r="J64" s="61" t="s">
        <v>552</v>
      </c>
      <c r="K64" s="61" t="s">
        <v>578</v>
      </c>
      <c r="L64" s="61" t="s">
        <v>104</v>
      </c>
      <c r="M64" s="347"/>
      <c r="N64" s="115" t="s">
        <v>226</v>
      </c>
      <c r="O64" s="143" t="s">
        <v>560</v>
      </c>
      <c r="P64" s="119">
        <v>3013752.44</v>
      </c>
      <c r="Q64" s="120"/>
      <c r="R64" s="61" t="s">
        <v>107</v>
      </c>
      <c r="S64" s="117" t="s">
        <v>589</v>
      </c>
      <c r="T64" s="129" t="s">
        <v>600</v>
      </c>
      <c r="U64" s="330" t="s">
        <v>556</v>
      </c>
      <c r="V64" s="310"/>
      <c r="W64" s="190">
        <v>1506876</v>
      </c>
      <c r="X64" s="356" t="s">
        <v>581</v>
      </c>
      <c r="Y64" s="345">
        <v>45994</v>
      </c>
      <c r="Z64" s="338">
        <v>202606</v>
      </c>
      <c r="AA64" s="350" t="s">
        <v>582</v>
      </c>
      <c r="AB64" s="127" t="s">
        <v>110</v>
      </c>
      <c r="AC64" s="340" t="s">
        <v>354</v>
      </c>
      <c r="AD64" s="341">
        <v>46142</v>
      </c>
      <c r="AE64" s="128"/>
      <c r="AF64" s="130" t="s">
        <v>563</v>
      </c>
      <c r="AG64" s="130" t="s">
        <v>112</v>
      </c>
      <c r="AH64" s="116" t="s">
        <v>455</v>
      </c>
      <c r="AI64" s="132">
        <v>0</v>
      </c>
      <c r="AJ64" s="116" t="s">
        <v>583</v>
      </c>
      <c r="AK64" s="130" t="s">
        <v>584</v>
      </c>
      <c r="AL64" s="153" t="s">
        <v>585</v>
      </c>
      <c r="AM64" s="339" t="s">
        <v>586</v>
      </c>
    </row>
    <row r="65" ht="71" customHeight="1" spans="1:39">
      <c r="A65" s="73"/>
      <c r="B65" s="116" t="s">
        <v>98</v>
      </c>
      <c r="C65" s="117"/>
      <c r="D65" s="61">
        <v>33</v>
      </c>
      <c r="E65" s="61"/>
      <c r="F65" s="61"/>
      <c r="G65" s="61" t="s">
        <v>549</v>
      </c>
      <c r="H65" s="64" t="s">
        <v>601</v>
      </c>
      <c r="I65" s="61" t="s">
        <v>551</v>
      </c>
      <c r="J65" s="61" t="s">
        <v>552</v>
      </c>
      <c r="K65" s="61" t="s">
        <v>602</v>
      </c>
      <c r="L65" s="61" t="s">
        <v>104</v>
      </c>
      <c r="M65" s="347"/>
      <c r="N65" s="115" t="s">
        <v>226</v>
      </c>
      <c r="O65" s="143" t="s">
        <v>560</v>
      </c>
      <c r="P65" s="119">
        <v>3013752.44</v>
      </c>
      <c r="Q65" s="120"/>
      <c r="R65" s="61" t="s">
        <v>107</v>
      </c>
      <c r="S65" s="117" t="s">
        <v>603</v>
      </c>
      <c r="T65" s="129" t="s">
        <v>604</v>
      </c>
      <c r="U65" s="330" t="s">
        <v>556</v>
      </c>
      <c r="V65" s="310"/>
      <c r="W65" s="190">
        <v>1506876</v>
      </c>
      <c r="X65" s="356" t="s">
        <v>581</v>
      </c>
      <c r="Y65" s="345">
        <v>45994</v>
      </c>
      <c r="Z65" s="338">
        <v>202606</v>
      </c>
      <c r="AA65" s="350" t="s">
        <v>582</v>
      </c>
      <c r="AB65" s="127" t="s">
        <v>110</v>
      </c>
      <c r="AC65" s="340" t="s">
        <v>354</v>
      </c>
      <c r="AD65" s="341">
        <v>46203</v>
      </c>
      <c r="AE65" s="128"/>
      <c r="AF65" s="130" t="s">
        <v>563</v>
      </c>
      <c r="AG65" s="130" t="s">
        <v>112</v>
      </c>
      <c r="AH65" s="116" t="s">
        <v>455</v>
      </c>
      <c r="AI65" s="132">
        <v>0</v>
      </c>
      <c r="AJ65" s="116" t="s">
        <v>583</v>
      </c>
      <c r="AK65" s="130" t="s">
        <v>605</v>
      </c>
      <c r="AL65" s="153" t="s">
        <v>585</v>
      </c>
      <c r="AM65" s="339" t="s">
        <v>586</v>
      </c>
    </row>
    <row r="66" ht="71" customHeight="1" spans="1:39">
      <c r="A66" s="73"/>
      <c r="B66" s="116" t="s">
        <v>98</v>
      </c>
      <c r="C66" s="117"/>
      <c r="D66" s="61">
        <v>33</v>
      </c>
      <c r="E66" s="61"/>
      <c r="F66" s="61"/>
      <c r="G66" s="61" t="s">
        <v>549</v>
      </c>
      <c r="H66" s="64" t="s">
        <v>606</v>
      </c>
      <c r="I66" s="61" t="s">
        <v>551</v>
      </c>
      <c r="J66" s="61" t="s">
        <v>552</v>
      </c>
      <c r="K66" s="61" t="s">
        <v>602</v>
      </c>
      <c r="L66" s="61" t="s">
        <v>104</v>
      </c>
      <c r="M66" s="347"/>
      <c r="N66" s="115" t="s">
        <v>226</v>
      </c>
      <c r="O66" s="143" t="s">
        <v>560</v>
      </c>
      <c r="P66" s="119">
        <v>3039690.6</v>
      </c>
      <c r="Q66" s="120"/>
      <c r="R66" s="61" t="s">
        <v>107</v>
      </c>
      <c r="S66" s="117" t="s">
        <v>603</v>
      </c>
      <c r="T66" s="129" t="s">
        <v>607</v>
      </c>
      <c r="U66" s="330" t="s">
        <v>556</v>
      </c>
      <c r="V66" s="310"/>
      <c r="W66" s="310">
        <v>3039691</v>
      </c>
      <c r="X66" s="358" t="s">
        <v>608</v>
      </c>
      <c r="Y66" s="359" t="s">
        <v>536</v>
      </c>
      <c r="Z66" s="357">
        <v>202606</v>
      </c>
      <c r="AA66" s="350" t="s">
        <v>609</v>
      </c>
      <c r="AB66" s="127" t="s">
        <v>110</v>
      </c>
      <c r="AC66" s="340" t="s">
        <v>354</v>
      </c>
      <c r="AD66" s="341">
        <v>46112</v>
      </c>
      <c r="AE66" s="128"/>
      <c r="AF66" s="130" t="s">
        <v>563</v>
      </c>
      <c r="AG66" s="130" t="s">
        <v>112</v>
      </c>
      <c r="AH66" s="116" t="s">
        <v>455</v>
      </c>
      <c r="AI66" s="132">
        <v>0</v>
      </c>
      <c r="AJ66" s="116" t="s">
        <v>583</v>
      </c>
      <c r="AK66" s="130" t="s">
        <v>605</v>
      </c>
      <c r="AL66" s="153" t="s">
        <v>585</v>
      </c>
      <c r="AM66" s="339" t="s">
        <v>610</v>
      </c>
    </row>
    <row r="67" ht="86" customHeight="1" spans="1:39">
      <c r="A67" s="73"/>
      <c r="B67" s="116" t="s">
        <v>98</v>
      </c>
      <c r="C67" s="117"/>
      <c r="D67" s="61">
        <v>33</v>
      </c>
      <c r="E67" s="61"/>
      <c r="F67" s="61"/>
      <c r="G67" s="61" t="s">
        <v>549</v>
      </c>
      <c r="H67" s="64" t="s">
        <v>611</v>
      </c>
      <c r="I67" s="61" t="s">
        <v>551</v>
      </c>
      <c r="J67" s="61" t="s">
        <v>552</v>
      </c>
      <c r="K67" s="61" t="s">
        <v>602</v>
      </c>
      <c r="L67" s="61" t="s">
        <v>104</v>
      </c>
      <c r="M67" s="347"/>
      <c r="N67" s="115" t="s">
        <v>226</v>
      </c>
      <c r="O67" s="143" t="s">
        <v>560</v>
      </c>
      <c r="P67" s="119">
        <v>7599226.5</v>
      </c>
      <c r="Q67" s="120"/>
      <c r="R67" s="61" t="s">
        <v>107</v>
      </c>
      <c r="S67" s="117" t="s">
        <v>603</v>
      </c>
      <c r="T67" s="129" t="s">
        <v>612</v>
      </c>
      <c r="U67" s="330" t="s">
        <v>556</v>
      </c>
      <c r="V67" s="310"/>
      <c r="W67" s="190">
        <v>3799613</v>
      </c>
      <c r="X67" s="356" t="s">
        <v>581</v>
      </c>
      <c r="Y67" s="360">
        <v>46021</v>
      </c>
      <c r="Z67" s="357">
        <v>202606</v>
      </c>
      <c r="AA67" s="350" t="s">
        <v>613</v>
      </c>
      <c r="AB67" s="127" t="s">
        <v>110</v>
      </c>
      <c r="AC67" s="340" t="s">
        <v>354</v>
      </c>
      <c r="AD67" s="341">
        <v>46203</v>
      </c>
      <c r="AE67" s="128"/>
      <c r="AF67" s="130" t="s">
        <v>563</v>
      </c>
      <c r="AG67" s="130" t="s">
        <v>112</v>
      </c>
      <c r="AH67" s="116" t="s">
        <v>455</v>
      </c>
      <c r="AI67" s="132">
        <v>0</v>
      </c>
      <c r="AJ67" s="116" t="s">
        <v>583</v>
      </c>
      <c r="AK67" s="130" t="s">
        <v>605</v>
      </c>
      <c r="AL67" s="153" t="s">
        <v>585</v>
      </c>
      <c r="AM67" s="339" t="s">
        <v>614</v>
      </c>
    </row>
    <row r="68" ht="86" customHeight="1" spans="1:39">
      <c r="A68" s="73"/>
      <c r="B68" s="116" t="s">
        <v>98</v>
      </c>
      <c r="C68" s="117"/>
      <c r="D68" s="61">
        <v>33</v>
      </c>
      <c r="E68" s="61"/>
      <c r="F68" s="61"/>
      <c r="G68" s="61" t="s">
        <v>549</v>
      </c>
      <c r="H68" s="64" t="s">
        <v>615</v>
      </c>
      <c r="I68" s="61" t="s">
        <v>551</v>
      </c>
      <c r="J68" s="61" t="s">
        <v>552</v>
      </c>
      <c r="K68" s="61" t="s">
        <v>602</v>
      </c>
      <c r="L68" s="61" t="s">
        <v>104</v>
      </c>
      <c r="M68" s="347"/>
      <c r="N68" s="115" t="s">
        <v>226</v>
      </c>
      <c r="O68" s="143" t="s">
        <v>560</v>
      </c>
      <c r="P68" s="119">
        <v>18238143.6</v>
      </c>
      <c r="Q68" s="120"/>
      <c r="R68" s="61" t="s">
        <v>107</v>
      </c>
      <c r="S68" s="117" t="s">
        <v>603</v>
      </c>
      <c r="T68" s="129" t="s">
        <v>616</v>
      </c>
      <c r="U68" s="330" t="s">
        <v>556</v>
      </c>
      <c r="V68" s="310"/>
      <c r="W68" s="310">
        <v>18238144</v>
      </c>
      <c r="X68" s="358" t="s">
        <v>608</v>
      </c>
      <c r="Y68" s="359" t="s">
        <v>536</v>
      </c>
      <c r="Z68" s="357">
        <v>202606</v>
      </c>
      <c r="AA68" s="350" t="s">
        <v>609</v>
      </c>
      <c r="AB68" s="127" t="s">
        <v>110</v>
      </c>
      <c r="AC68" s="340" t="s">
        <v>354</v>
      </c>
      <c r="AD68" s="341">
        <v>46112</v>
      </c>
      <c r="AE68" s="128"/>
      <c r="AF68" s="130" t="s">
        <v>563</v>
      </c>
      <c r="AG68" s="130" t="s">
        <v>112</v>
      </c>
      <c r="AH68" s="116" t="s">
        <v>455</v>
      </c>
      <c r="AI68" s="132">
        <v>0</v>
      </c>
      <c r="AJ68" s="116" t="s">
        <v>583</v>
      </c>
      <c r="AK68" s="130" t="s">
        <v>617</v>
      </c>
      <c r="AL68" s="153" t="s">
        <v>585</v>
      </c>
      <c r="AM68" s="339" t="s">
        <v>610</v>
      </c>
    </row>
    <row r="69" ht="78" hidden="1" customHeight="1" spans="1:39">
      <c r="A69" s="73"/>
      <c r="B69" s="116" t="s">
        <v>98</v>
      </c>
      <c r="C69" s="117"/>
      <c r="D69" s="61">
        <v>33</v>
      </c>
      <c r="E69" s="61"/>
      <c r="F69" s="61"/>
      <c r="G69" s="61" t="s">
        <v>549</v>
      </c>
      <c r="H69" s="64" t="s">
        <v>618</v>
      </c>
      <c r="I69" s="61" t="s">
        <v>551</v>
      </c>
      <c r="J69" s="61" t="s">
        <v>552</v>
      </c>
      <c r="K69" s="61" t="s">
        <v>578</v>
      </c>
      <c r="L69" s="61" t="s">
        <v>104</v>
      </c>
      <c r="M69" s="347"/>
      <c r="N69" s="115"/>
      <c r="O69" s="143" t="s">
        <v>560</v>
      </c>
      <c r="P69" s="348">
        <v>97270099</v>
      </c>
      <c r="Q69" s="120"/>
      <c r="R69" s="61" t="s">
        <v>107</v>
      </c>
      <c r="S69" s="340">
        <v>46093</v>
      </c>
      <c r="T69" s="129" t="s">
        <v>619</v>
      </c>
      <c r="U69" s="330" t="s">
        <v>556</v>
      </c>
      <c r="V69" s="352">
        <v>48635049.6</v>
      </c>
      <c r="W69" s="361" t="s">
        <v>125</v>
      </c>
      <c r="X69" s="362"/>
      <c r="Y69" s="359"/>
      <c r="Z69" s="338">
        <v>202606</v>
      </c>
      <c r="AA69" s="339" t="s">
        <v>620</v>
      </c>
      <c r="AB69" s="127" t="s">
        <v>110</v>
      </c>
      <c r="AC69" s="340" t="s">
        <v>354</v>
      </c>
      <c r="AD69" s="341">
        <v>46142</v>
      </c>
      <c r="AE69" s="128"/>
      <c r="AF69" s="130" t="s">
        <v>563</v>
      </c>
      <c r="AG69" s="130" t="s">
        <v>112</v>
      </c>
      <c r="AH69" s="116" t="s">
        <v>455</v>
      </c>
      <c r="AI69" s="132">
        <v>0</v>
      </c>
      <c r="AJ69" s="116" t="s">
        <v>583</v>
      </c>
      <c r="AK69" s="130" t="s">
        <v>617</v>
      </c>
      <c r="AL69" s="153" t="s">
        <v>585</v>
      </c>
      <c r="AM69" s="339" t="s">
        <v>592</v>
      </c>
    </row>
    <row r="70" s="67" customFormat="1" ht="76" hidden="1" customHeight="1" spans="1:39">
      <c r="A70" s="363"/>
      <c r="B70" s="364" t="s">
        <v>98</v>
      </c>
      <c r="C70" s="117"/>
      <c r="D70" s="61">
        <v>33</v>
      </c>
      <c r="E70" s="365"/>
      <c r="F70" s="61"/>
      <c r="G70" s="61" t="s">
        <v>549</v>
      </c>
      <c r="H70" s="366" t="s">
        <v>621</v>
      </c>
      <c r="I70" s="61" t="s">
        <v>551</v>
      </c>
      <c r="J70" s="61" t="s">
        <v>552</v>
      </c>
      <c r="K70" s="365" t="s">
        <v>602</v>
      </c>
      <c r="L70" s="365" t="s">
        <v>104</v>
      </c>
      <c r="M70" s="347"/>
      <c r="N70" s="115"/>
      <c r="O70" s="143" t="s">
        <v>560</v>
      </c>
      <c r="P70" s="367">
        <v>13561885.98</v>
      </c>
      <c r="Q70" s="368"/>
      <c r="R70" s="365" t="s">
        <v>107</v>
      </c>
      <c r="S70" s="369" t="s">
        <v>536</v>
      </c>
      <c r="T70" s="370" t="s">
        <v>622</v>
      </c>
      <c r="U70" s="371" t="s">
        <v>556</v>
      </c>
      <c r="V70" s="372"/>
      <c r="W70" s="373">
        <v>6780943</v>
      </c>
      <c r="X70" s="374" t="s">
        <v>581</v>
      </c>
      <c r="Y70" s="360">
        <v>46021</v>
      </c>
      <c r="Z70" s="375">
        <v>202606</v>
      </c>
      <c r="AA70" s="376" t="s">
        <v>582</v>
      </c>
      <c r="AB70" s="377" t="s">
        <v>110</v>
      </c>
      <c r="AC70" s="378" t="s">
        <v>354</v>
      </c>
      <c r="AD70" s="379">
        <v>46203</v>
      </c>
      <c r="AE70" s="380"/>
      <c r="AF70" s="381" t="s">
        <v>563</v>
      </c>
      <c r="AG70" s="381" t="s">
        <v>112</v>
      </c>
      <c r="AH70" s="364" t="s">
        <v>455</v>
      </c>
      <c r="AI70" s="382">
        <v>0</v>
      </c>
      <c r="AJ70" s="364" t="s">
        <v>583</v>
      </c>
      <c r="AK70" s="381" t="s">
        <v>605</v>
      </c>
      <c r="AL70" s="153" t="s">
        <v>585</v>
      </c>
      <c r="AM70" s="339" t="s">
        <v>586</v>
      </c>
    </row>
    <row r="71" s="67" customFormat="1" ht="76" hidden="1" customHeight="1" spans="1:39">
      <c r="A71" s="363"/>
      <c r="B71" s="364" t="s">
        <v>98</v>
      </c>
      <c r="C71" s="117"/>
      <c r="D71" s="61">
        <v>33</v>
      </c>
      <c r="E71" s="365"/>
      <c r="F71" s="61"/>
      <c r="G71" s="61" t="s">
        <v>549</v>
      </c>
      <c r="H71" s="366" t="s">
        <v>623</v>
      </c>
      <c r="I71" s="61" t="s">
        <v>551</v>
      </c>
      <c r="J71" s="61" t="s">
        <v>552</v>
      </c>
      <c r="K71" s="365" t="s">
        <v>578</v>
      </c>
      <c r="L71" s="365" t="s">
        <v>104</v>
      </c>
      <c r="M71" s="347"/>
      <c r="N71" s="115"/>
      <c r="O71" s="143" t="s">
        <v>560</v>
      </c>
      <c r="P71" s="367">
        <v>2910000</v>
      </c>
      <c r="Q71" s="368"/>
      <c r="R71" s="365" t="s">
        <v>107</v>
      </c>
      <c r="S71" s="369" t="s">
        <v>589</v>
      </c>
      <c r="T71" s="370" t="s">
        <v>624</v>
      </c>
      <c r="U71" s="371" t="s">
        <v>556</v>
      </c>
      <c r="V71" s="383"/>
      <c r="W71" s="383">
        <v>2910000</v>
      </c>
      <c r="X71" s="384" t="s">
        <v>608</v>
      </c>
      <c r="Y71" s="385" t="s">
        <v>625</v>
      </c>
      <c r="Z71" s="386">
        <v>202606</v>
      </c>
      <c r="AA71" s="376" t="s">
        <v>609</v>
      </c>
      <c r="AB71" s="377" t="s">
        <v>110</v>
      </c>
      <c r="AC71" s="378" t="s">
        <v>354</v>
      </c>
      <c r="AD71" s="379">
        <v>46112</v>
      </c>
      <c r="AE71" s="380"/>
      <c r="AF71" s="381" t="s">
        <v>563</v>
      </c>
      <c r="AG71" s="381" t="s">
        <v>112</v>
      </c>
      <c r="AH71" s="364" t="s">
        <v>455</v>
      </c>
      <c r="AI71" s="382">
        <v>0</v>
      </c>
      <c r="AJ71" s="364" t="s">
        <v>583</v>
      </c>
      <c r="AK71" s="381" t="s">
        <v>584</v>
      </c>
      <c r="AL71" s="387" t="s">
        <v>585</v>
      </c>
      <c r="AM71" s="388" t="s">
        <v>610</v>
      </c>
    </row>
    <row r="72" s="67" customFormat="1" ht="76" hidden="1" customHeight="1" spans="1:39">
      <c r="A72" s="363"/>
      <c r="B72" s="364" t="s">
        <v>98</v>
      </c>
      <c r="C72" s="117"/>
      <c r="D72" s="61">
        <v>33</v>
      </c>
      <c r="E72" s="365"/>
      <c r="F72" s="61"/>
      <c r="G72" s="61" t="s">
        <v>549</v>
      </c>
      <c r="H72" s="366" t="s">
        <v>626</v>
      </c>
      <c r="I72" s="61" t="s">
        <v>551</v>
      </c>
      <c r="J72" s="61" t="s">
        <v>552</v>
      </c>
      <c r="K72" s="365" t="s">
        <v>578</v>
      </c>
      <c r="L72" s="365" t="s">
        <v>104</v>
      </c>
      <c r="M72" s="347"/>
      <c r="N72" s="115"/>
      <c r="O72" s="143" t="s">
        <v>560</v>
      </c>
      <c r="P72" s="367">
        <v>6027504.88</v>
      </c>
      <c r="Q72" s="368"/>
      <c r="R72" s="365" t="s">
        <v>107</v>
      </c>
      <c r="S72" s="369" t="s">
        <v>589</v>
      </c>
      <c r="T72" s="370" t="s">
        <v>627</v>
      </c>
      <c r="U72" s="371" t="s">
        <v>556</v>
      </c>
      <c r="V72" s="383"/>
      <c r="W72" s="383">
        <v>6027505</v>
      </c>
      <c r="X72" s="384" t="s">
        <v>608</v>
      </c>
      <c r="Y72" s="385" t="s">
        <v>628</v>
      </c>
      <c r="Z72" s="386">
        <v>202606</v>
      </c>
      <c r="AA72" s="376" t="s">
        <v>609</v>
      </c>
      <c r="AB72" s="377" t="s">
        <v>110</v>
      </c>
      <c r="AC72" s="378" t="s">
        <v>354</v>
      </c>
      <c r="AD72" s="379">
        <v>46112</v>
      </c>
      <c r="AE72" s="380"/>
      <c r="AF72" s="381" t="s">
        <v>563</v>
      </c>
      <c r="AG72" s="381" t="s">
        <v>112</v>
      </c>
      <c r="AH72" s="364" t="s">
        <v>455</v>
      </c>
      <c r="AI72" s="382">
        <v>0</v>
      </c>
      <c r="AJ72" s="364" t="s">
        <v>583</v>
      </c>
      <c r="AK72" s="381" t="s">
        <v>584</v>
      </c>
      <c r="AL72" s="387" t="s">
        <v>585</v>
      </c>
      <c r="AM72" s="388" t="s">
        <v>610</v>
      </c>
    </row>
    <row r="73" s="67" customFormat="1" ht="76" hidden="1" customHeight="1" spans="1:39">
      <c r="A73" s="363"/>
      <c r="B73" s="364" t="s">
        <v>98</v>
      </c>
      <c r="C73" s="117"/>
      <c r="D73" s="61">
        <v>33</v>
      </c>
      <c r="E73" s="365" t="s">
        <v>43</v>
      </c>
      <c r="F73" s="61"/>
      <c r="G73" s="61" t="s">
        <v>549</v>
      </c>
      <c r="H73" s="389" t="s">
        <v>629</v>
      </c>
      <c r="I73" s="61"/>
      <c r="J73" s="61"/>
      <c r="K73" s="365" t="s">
        <v>578</v>
      </c>
      <c r="L73" s="365" t="s">
        <v>104</v>
      </c>
      <c r="M73" s="347"/>
      <c r="N73" s="390"/>
      <c r="O73" s="143" t="s">
        <v>560</v>
      </c>
      <c r="P73" s="391">
        <v>13678608</v>
      </c>
      <c r="Q73" s="392"/>
      <c r="R73" s="393" t="s">
        <v>107</v>
      </c>
      <c r="S73" s="394">
        <v>46100</v>
      </c>
      <c r="T73" s="395" t="s">
        <v>630</v>
      </c>
      <c r="U73" s="371" t="s">
        <v>556</v>
      </c>
      <c r="V73" s="396"/>
      <c r="W73" s="373">
        <v>6839304</v>
      </c>
      <c r="X73" s="397" t="s">
        <v>581</v>
      </c>
      <c r="Y73" s="398">
        <v>46099</v>
      </c>
      <c r="Z73" s="375"/>
      <c r="AA73" s="376" t="s">
        <v>582</v>
      </c>
      <c r="AB73" s="377" t="s">
        <v>110</v>
      </c>
      <c r="AC73" s="378" t="s">
        <v>354</v>
      </c>
      <c r="AD73" s="379">
        <v>46203</v>
      </c>
      <c r="AE73" s="380"/>
      <c r="AF73" s="381" t="s">
        <v>563</v>
      </c>
      <c r="AG73" s="381"/>
      <c r="AH73" s="364"/>
      <c r="AI73" s="382"/>
      <c r="AJ73" s="364"/>
      <c r="AK73" s="381"/>
      <c r="AL73" s="387"/>
      <c r="AM73" s="388" t="s">
        <v>631</v>
      </c>
    </row>
    <row r="74" s="67" customFormat="1" ht="76" hidden="1" customHeight="1" spans="1:39">
      <c r="A74" s="363"/>
      <c r="B74" s="364" t="s">
        <v>98</v>
      </c>
      <c r="C74" s="117"/>
      <c r="D74" s="61">
        <v>33</v>
      </c>
      <c r="E74" s="365"/>
      <c r="F74" s="61"/>
      <c r="G74" s="61" t="s">
        <v>549</v>
      </c>
      <c r="H74" s="389" t="s">
        <v>632</v>
      </c>
      <c r="I74" s="61"/>
      <c r="J74" s="61"/>
      <c r="K74" s="365" t="s">
        <v>578</v>
      </c>
      <c r="L74" s="365" t="s">
        <v>104</v>
      </c>
      <c r="M74" s="347"/>
      <c r="N74" s="390"/>
      <c r="O74" s="143" t="s">
        <v>560</v>
      </c>
      <c r="P74" s="391">
        <v>15198453</v>
      </c>
      <c r="Q74" s="392"/>
      <c r="R74" s="393" t="s">
        <v>107</v>
      </c>
      <c r="S74" s="394">
        <v>46100</v>
      </c>
      <c r="T74" s="395" t="s">
        <v>633</v>
      </c>
      <c r="U74" s="371" t="s">
        <v>556</v>
      </c>
      <c r="V74" s="399">
        <v>7599227</v>
      </c>
      <c r="W74" s="400"/>
      <c r="X74" s="397"/>
      <c r="Y74" s="401"/>
      <c r="Z74" s="375"/>
      <c r="AA74" s="388" t="s">
        <v>634</v>
      </c>
      <c r="AB74" s="377" t="s">
        <v>110</v>
      </c>
      <c r="AC74" s="378" t="s">
        <v>354</v>
      </c>
      <c r="AD74" s="379">
        <v>46203</v>
      </c>
      <c r="AE74" s="380"/>
      <c r="AF74" s="381" t="s">
        <v>563</v>
      </c>
      <c r="AG74" s="381"/>
      <c r="AH74" s="364"/>
      <c r="AI74" s="382"/>
      <c r="AJ74" s="364"/>
      <c r="AK74" s="381"/>
      <c r="AL74" s="387"/>
      <c r="AM74" s="388" t="s">
        <v>635</v>
      </c>
    </row>
    <row r="75" s="67" customFormat="1" ht="76" hidden="1" customHeight="1" spans="1:39">
      <c r="A75" s="363"/>
      <c r="B75" s="364" t="s">
        <v>98</v>
      </c>
      <c r="C75" s="117"/>
      <c r="D75" s="61">
        <v>33</v>
      </c>
      <c r="E75" s="365"/>
      <c r="F75" s="61"/>
      <c r="G75" s="61" t="s">
        <v>549</v>
      </c>
      <c r="H75" s="389" t="s">
        <v>636</v>
      </c>
      <c r="I75" s="61"/>
      <c r="J75" s="61"/>
      <c r="K75" s="365" t="s">
        <v>578</v>
      </c>
      <c r="L75" s="365" t="s">
        <v>104</v>
      </c>
      <c r="M75" s="347"/>
      <c r="N75" s="390"/>
      <c r="O75" s="143" t="s">
        <v>560</v>
      </c>
      <c r="P75" s="391">
        <v>4559536</v>
      </c>
      <c r="Q75" s="392"/>
      <c r="R75" s="393" t="s">
        <v>107</v>
      </c>
      <c r="S75" s="394">
        <v>46100</v>
      </c>
      <c r="T75" s="395" t="s">
        <v>637</v>
      </c>
      <c r="U75" s="371" t="s">
        <v>556</v>
      </c>
      <c r="V75" s="399"/>
      <c r="W75" s="400">
        <v>2279768</v>
      </c>
      <c r="X75" s="402" t="s">
        <v>581</v>
      </c>
      <c r="Y75" s="403">
        <v>46099</v>
      </c>
      <c r="Z75" s="404"/>
      <c r="AA75" s="376" t="s">
        <v>582</v>
      </c>
      <c r="AB75" s="377" t="s">
        <v>110</v>
      </c>
      <c r="AC75" s="378" t="s">
        <v>354</v>
      </c>
      <c r="AD75" s="379">
        <v>46203</v>
      </c>
      <c r="AE75" s="380"/>
      <c r="AF75" s="381" t="s">
        <v>563</v>
      </c>
      <c r="AG75" s="381"/>
      <c r="AH75" s="364"/>
      <c r="AI75" s="382"/>
      <c r="AJ75" s="364"/>
      <c r="AK75" s="381"/>
      <c r="AL75" s="387"/>
      <c r="AM75" s="388" t="s">
        <v>631</v>
      </c>
    </row>
    <row r="76" s="67" customFormat="1" ht="76" hidden="1" customHeight="1" spans="1:39">
      <c r="A76" s="363"/>
      <c r="B76" s="364" t="s">
        <v>98</v>
      </c>
      <c r="C76" s="117"/>
      <c r="D76" s="61">
        <v>33</v>
      </c>
      <c r="E76" s="365"/>
      <c r="F76" s="61"/>
      <c r="G76" s="61" t="s">
        <v>549</v>
      </c>
      <c r="H76" s="389" t="s">
        <v>638</v>
      </c>
      <c r="I76" s="61"/>
      <c r="J76" s="61"/>
      <c r="K76" s="365" t="s">
        <v>578</v>
      </c>
      <c r="L76" s="365" t="s">
        <v>104</v>
      </c>
      <c r="M76" s="347"/>
      <c r="N76" s="390"/>
      <c r="O76" s="143" t="s">
        <v>560</v>
      </c>
      <c r="P76" s="391">
        <v>19757989</v>
      </c>
      <c r="Q76" s="392"/>
      <c r="R76" s="393" t="s">
        <v>107</v>
      </c>
      <c r="S76" s="394">
        <v>46100</v>
      </c>
      <c r="T76" s="395" t="s">
        <v>639</v>
      </c>
      <c r="U76" s="371" t="s">
        <v>556</v>
      </c>
      <c r="V76" s="399"/>
      <c r="W76" s="400">
        <v>9878994</v>
      </c>
      <c r="X76" s="402" t="s">
        <v>581</v>
      </c>
      <c r="Y76" s="403">
        <v>46099</v>
      </c>
      <c r="Z76" s="404"/>
      <c r="AA76" s="376" t="s">
        <v>582</v>
      </c>
      <c r="AB76" s="377" t="s">
        <v>110</v>
      </c>
      <c r="AC76" s="378" t="s">
        <v>354</v>
      </c>
      <c r="AD76" s="379">
        <v>46203</v>
      </c>
      <c r="AE76" s="380"/>
      <c r="AF76" s="381" t="s">
        <v>563</v>
      </c>
      <c r="AG76" s="381"/>
      <c r="AH76" s="364"/>
      <c r="AI76" s="382"/>
      <c r="AJ76" s="364"/>
      <c r="AK76" s="381"/>
      <c r="AL76" s="387"/>
      <c r="AM76" s="388" t="s">
        <v>640</v>
      </c>
    </row>
    <row r="77" s="67" customFormat="1" ht="76" hidden="1" customHeight="1" spans="1:39">
      <c r="A77" s="363"/>
      <c r="B77" s="364" t="s">
        <v>98</v>
      </c>
      <c r="C77" s="117"/>
      <c r="D77" s="61">
        <v>33</v>
      </c>
      <c r="E77" s="365"/>
      <c r="F77" s="61"/>
      <c r="G77" s="61" t="s">
        <v>549</v>
      </c>
      <c r="H77" s="389" t="s">
        <v>641</v>
      </c>
      <c r="I77" s="61"/>
      <c r="J77" s="61"/>
      <c r="K77" s="365" t="s">
        <v>578</v>
      </c>
      <c r="L77" s="365" t="s">
        <v>104</v>
      </c>
      <c r="M77" s="347"/>
      <c r="N77" s="390"/>
      <c r="O77" s="143" t="s">
        <v>560</v>
      </c>
      <c r="P77" s="391">
        <v>3039691</v>
      </c>
      <c r="Q77" s="392"/>
      <c r="R77" s="393" t="s">
        <v>107</v>
      </c>
      <c r="S77" s="394">
        <v>46100</v>
      </c>
      <c r="T77" s="395" t="s">
        <v>642</v>
      </c>
      <c r="U77" s="371" t="s">
        <v>556</v>
      </c>
      <c r="V77" s="399"/>
      <c r="W77" s="400">
        <v>1519845</v>
      </c>
      <c r="X77" s="402" t="s">
        <v>581</v>
      </c>
      <c r="Y77" s="403">
        <v>46099</v>
      </c>
      <c r="Z77" s="404"/>
      <c r="AA77" s="376" t="s">
        <v>582</v>
      </c>
      <c r="AB77" s="377" t="s">
        <v>110</v>
      </c>
      <c r="AC77" s="378" t="s">
        <v>354</v>
      </c>
      <c r="AD77" s="379">
        <v>46203</v>
      </c>
      <c r="AE77" s="380"/>
      <c r="AF77" s="381" t="s">
        <v>563</v>
      </c>
      <c r="AG77" s="381"/>
      <c r="AH77" s="364"/>
      <c r="AI77" s="382"/>
      <c r="AJ77" s="364"/>
      <c r="AK77" s="381"/>
      <c r="AL77" s="387"/>
      <c r="AM77" s="388" t="s">
        <v>643</v>
      </c>
    </row>
    <row r="78" s="67" customFormat="1" ht="76" hidden="1" customHeight="1" spans="1:39">
      <c r="A78" s="363"/>
      <c r="B78" s="364" t="s">
        <v>98</v>
      </c>
      <c r="C78" s="117"/>
      <c r="D78" s="61">
        <v>33</v>
      </c>
      <c r="E78" s="365"/>
      <c r="F78" s="61"/>
      <c r="G78" s="61" t="s">
        <v>549</v>
      </c>
      <c r="H78" s="389" t="s">
        <v>644</v>
      </c>
      <c r="I78" s="61"/>
      <c r="J78" s="61"/>
      <c r="K78" s="365" t="s">
        <v>578</v>
      </c>
      <c r="L78" s="365" t="s">
        <v>104</v>
      </c>
      <c r="M78" s="347"/>
      <c r="N78" s="390"/>
      <c r="O78" s="143" t="s">
        <v>560</v>
      </c>
      <c r="P78" s="391">
        <v>15198453</v>
      </c>
      <c r="Q78" s="392"/>
      <c r="R78" s="393" t="s">
        <v>107</v>
      </c>
      <c r="S78" s="394">
        <v>46100</v>
      </c>
      <c r="T78" s="395" t="s">
        <v>645</v>
      </c>
      <c r="U78" s="371" t="s">
        <v>556</v>
      </c>
      <c r="V78" s="399"/>
      <c r="W78" s="400">
        <v>7599227</v>
      </c>
      <c r="X78" s="402" t="s">
        <v>581</v>
      </c>
      <c r="Y78" s="403">
        <v>46099</v>
      </c>
      <c r="Z78" s="404"/>
      <c r="AA78" s="376" t="s">
        <v>582</v>
      </c>
      <c r="AB78" s="377" t="s">
        <v>110</v>
      </c>
      <c r="AC78" s="378" t="s">
        <v>354</v>
      </c>
      <c r="AD78" s="379">
        <v>46203</v>
      </c>
      <c r="AE78" s="380"/>
      <c r="AF78" s="381" t="s">
        <v>563</v>
      </c>
      <c r="AG78" s="381"/>
      <c r="AH78" s="364"/>
      <c r="AI78" s="382"/>
      <c r="AJ78" s="364"/>
      <c r="AK78" s="381"/>
      <c r="AL78" s="387"/>
      <c r="AM78" s="388" t="s">
        <v>646</v>
      </c>
    </row>
    <row r="79" s="67" customFormat="1" ht="76" hidden="1" customHeight="1" spans="1:39">
      <c r="A79" s="363"/>
      <c r="B79" s="364" t="s">
        <v>98</v>
      </c>
      <c r="C79" s="117"/>
      <c r="D79" s="61">
        <v>33</v>
      </c>
      <c r="E79" s="365"/>
      <c r="F79" s="61"/>
      <c r="G79" s="61" t="s">
        <v>549</v>
      </c>
      <c r="H79" s="389" t="s">
        <v>647</v>
      </c>
      <c r="I79" s="61"/>
      <c r="J79" s="61"/>
      <c r="K79" s="365" t="s">
        <v>578</v>
      </c>
      <c r="L79" s="365" t="s">
        <v>104</v>
      </c>
      <c r="M79" s="347"/>
      <c r="N79" s="390"/>
      <c r="O79" s="143" t="s">
        <v>560</v>
      </c>
      <c r="P79" s="391">
        <v>15198453</v>
      </c>
      <c r="Q79" s="392"/>
      <c r="R79" s="393" t="s">
        <v>107</v>
      </c>
      <c r="S79" s="394">
        <v>46106</v>
      </c>
      <c r="T79" s="395" t="s">
        <v>648</v>
      </c>
      <c r="U79" s="371" t="s">
        <v>556</v>
      </c>
      <c r="V79" s="399">
        <v>7599227</v>
      </c>
      <c r="W79" s="400"/>
      <c r="X79" s="402"/>
      <c r="Y79" s="403"/>
      <c r="Z79" s="404"/>
      <c r="AA79" s="388" t="s">
        <v>634</v>
      </c>
      <c r="AB79" s="377" t="s">
        <v>110</v>
      </c>
      <c r="AC79" s="378" t="s">
        <v>354</v>
      </c>
      <c r="AD79" s="379">
        <v>46203</v>
      </c>
      <c r="AE79" s="380"/>
      <c r="AF79" s="381" t="s">
        <v>563</v>
      </c>
      <c r="AG79" s="381"/>
      <c r="AH79" s="364"/>
      <c r="AI79" s="382"/>
      <c r="AJ79" s="364"/>
      <c r="AK79" s="381"/>
      <c r="AL79" s="387"/>
      <c r="AM79" s="388" t="s">
        <v>635</v>
      </c>
    </row>
    <row r="80" ht="70" hidden="1" customHeight="1" spans="1:39">
      <c r="A80" s="142"/>
      <c r="B80" s="257" t="s">
        <v>117</v>
      </c>
      <c r="C80" s="117">
        <v>45972</v>
      </c>
      <c r="D80" s="61">
        <v>34</v>
      </c>
      <c r="E80" s="61" t="s">
        <v>52</v>
      </c>
      <c r="F80" s="61"/>
      <c r="G80" s="61" t="s">
        <v>649</v>
      </c>
      <c r="H80" s="64" t="s">
        <v>650</v>
      </c>
      <c r="I80" s="61" t="s">
        <v>551</v>
      </c>
      <c r="J80" s="61" t="s">
        <v>552</v>
      </c>
      <c r="K80" s="61" t="s">
        <v>134</v>
      </c>
      <c r="L80" s="61" t="s">
        <v>134</v>
      </c>
      <c r="M80" s="405" t="s">
        <v>651</v>
      </c>
      <c r="N80" s="143" t="s">
        <v>104</v>
      </c>
      <c r="O80" s="143"/>
      <c r="P80" s="127">
        <v>7742400</v>
      </c>
      <c r="Q80" s="120">
        <v>1</v>
      </c>
      <c r="R80" s="61" t="s">
        <v>107</v>
      </c>
      <c r="S80" s="117">
        <v>45852</v>
      </c>
      <c r="T80" s="129" t="s">
        <v>652</v>
      </c>
      <c r="U80" s="332" t="s">
        <v>653</v>
      </c>
      <c r="V80" s="406">
        <v>7742400</v>
      </c>
      <c r="W80" s="124"/>
      <c r="X80" s="124"/>
      <c r="Y80" s="407"/>
      <c r="Z80" s="148"/>
      <c r="AA80" s="182" t="s">
        <v>409</v>
      </c>
      <c r="AB80" s="127" t="s">
        <v>127</v>
      </c>
      <c r="AC80" s="117"/>
      <c r="AD80" s="121"/>
      <c r="AE80" s="128"/>
      <c r="AF80" s="130" t="s">
        <v>497</v>
      </c>
      <c r="AG80" s="130"/>
      <c r="AH80" s="130" t="s">
        <v>455</v>
      </c>
      <c r="AI80" s="116">
        <v>7742400</v>
      </c>
      <c r="AJ80" s="116" t="s">
        <v>654</v>
      </c>
      <c r="AK80" s="130" t="s">
        <v>655</v>
      </c>
      <c r="AL80" s="408"/>
      <c r="AM80" s="409" t="s">
        <v>656</v>
      </c>
    </row>
    <row r="81" ht="40" hidden="1" customHeight="1" spans="1:39">
      <c r="A81" s="142"/>
      <c r="B81" s="116" t="s">
        <v>117</v>
      </c>
      <c r="C81" s="117">
        <v>45972</v>
      </c>
      <c r="D81" s="61">
        <v>35</v>
      </c>
      <c r="E81" s="61" t="s">
        <v>52</v>
      </c>
      <c r="F81" s="61"/>
      <c r="G81" s="61" t="s">
        <v>649</v>
      </c>
      <c r="H81" s="64" t="s">
        <v>657</v>
      </c>
      <c r="I81" s="61" t="s">
        <v>551</v>
      </c>
      <c r="J81" s="61" t="s">
        <v>552</v>
      </c>
      <c r="K81" s="61" t="s">
        <v>134</v>
      </c>
      <c r="L81" s="61" t="s">
        <v>134</v>
      </c>
      <c r="M81" s="405" t="s">
        <v>651</v>
      </c>
      <c r="N81" s="143" t="s">
        <v>104</v>
      </c>
      <c r="O81" s="143"/>
      <c r="P81" s="127">
        <v>2839614.38</v>
      </c>
      <c r="Q81" s="120">
        <v>0.6302</v>
      </c>
      <c r="R81" s="61" t="s">
        <v>107</v>
      </c>
      <c r="S81" s="117">
        <v>45852</v>
      </c>
      <c r="T81" s="129" t="s">
        <v>658</v>
      </c>
      <c r="U81" s="332" t="s">
        <v>653</v>
      </c>
      <c r="V81" s="410">
        <v>2839614.38</v>
      </c>
      <c r="W81" s="147"/>
      <c r="X81" s="147"/>
      <c r="Y81" s="411"/>
      <c r="Z81" s="148"/>
      <c r="AA81" s="182" t="s">
        <v>409</v>
      </c>
      <c r="AB81" s="127" t="s">
        <v>127</v>
      </c>
      <c r="AC81" s="117"/>
      <c r="AD81" s="121"/>
      <c r="AE81" s="128"/>
      <c r="AF81" s="130" t="s">
        <v>497</v>
      </c>
      <c r="AG81" s="130"/>
      <c r="AH81" s="130" t="s">
        <v>455</v>
      </c>
      <c r="AI81" s="116">
        <v>3889612.92</v>
      </c>
      <c r="AJ81" s="116" t="s">
        <v>659</v>
      </c>
      <c r="AK81" s="130" t="s">
        <v>655</v>
      </c>
      <c r="AL81" s="412"/>
      <c r="AM81" s="409" t="s">
        <v>656</v>
      </c>
    </row>
    <row r="82" ht="53" hidden="1" customHeight="1" spans="1:39">
      <c r="A82" s="142"/>
      <c r="B82" s="208" t="s">
        <v>117</v>
      </c>
      <c r="C82" s="41"/>
      <c r="D82" s="61">
        <v>36</v>
      </c>
      <c r="E82" s="61" t="s">
        <v>43</v>
      </c>
      <c r="F82" s="61"/>
      <c r="G82" s="61" t="s">
        <v>660</v>
      </c>
      <c r="H82" s="64" t="s">
        <v>661</v>
      </c>
      <c r="I82" s="61" t="s">
        <v>662</v>
      </c>
      <c r="J82" s="61" t="s">
        <v>662</v>
      </c>
      <c r="K82" s="61" t="s">
        <v>244</v>
      </c>
      <c r="L82" s="61" t="s">
        <v>134</v>
      </c>
      <c r="M82" s="413"/>
      <c r="N82" s="41"/>
      <c r="O82" s="41"/>
      <c r="P82" s="116">
        <v>0</v>
      </c>
      <c r="Q82" s="120"/>
      <c r="R82" s="61" t="s">
        <v>663</v>
      </c>
      <c r="S82" s="117"/>
      <c r="T82" s="129"/>
      <c r="U82" s="332"/>
      <c r="V82" s="146"/>
      <c r="W82" s="147"/>
      <c r="X82" s="147"/>
      <c r="Y82" s="411"/>
      <c r="Z82" s="148"/>
      <c r="AA82" s="262"/>
      <c r="AB82" s="127"/>
      <c r="AC82" s="117"/>
      <c r="AD82" s="121"/>
      <c r="AE82" s="128"/>
      <c r="AF82" s="130"/>
      <c r="AG82" s="130"/>
      <c r="AH82" s="130"/>
      <c r="AI82" s="116"/>
      <c r="AJ82" s="130"/>
      <c r="AK82" s="130"/>
      <c r="AL82" s="229"/>
      <c r="AM82" s="188"/>
    </row>
    <row r="83" s="67" customFormat="1" ht="40" hidden="1" customHeight="1" spans="1:39">
      <c r="A83" s="363"/>
      <c r="B83" s="364" t="s">
        <v>98</v>
      </c>
      <c r="C83" s="117">
        <v>45972</v>
      </c>
      <c r="D83" s="61">
        <v>37</v>
      </c>
      <c r="E83" s="365" t="s">
        <v>47</v>
      </c>
      <c r="F83" s="61"/>
      <c r="G83" s="61" t="s">
        <v>118</v>
      </c>
      <c r="H83" s="366" t="s">
        <v>664</v>
      </c>
      <c r="I83" s="61" t="s">
        <v>224</v>
      </c>
      <c r="J83" s="61" t="s">
        <v>104</v>
      </c>
      <c r="K83" s="364" t="s">
        <v>224</v>
      </c>
      <c r="L83" s="365" t="s">
        <v>104</v>
      </c>
      <c r="M83" s="414" t="s">
        <v>665</v>
      </c>
      <c r="N83" s="390" t="s">
        <v>104</v>
      </c>
      <c r="O83" s="415" t="s">
        <v>106</v>
      </c>
      <c r="P83" s="367">
        <v>1998400</v>
      </c>
      <c r="Q83" s="368"/>
      <c r="R83" s="416" t="s">
        <v>107</v>
      </c>
      <c r="S83" s="417">
        <v>45928</v>
      </c>
      <c r="T83" s="377" t="s">
        <v>666</v>
      </c>
      <c r="U83" s="418" t="s">
        <v>667</v>
      </c>
      <c r="V83" s="400"/>
      <c r="W83" s="400"/>
      <c r="X83" s="419"/>
      <c r="Y83" s="420"/>
      <c r="Z83" s="421"/>
      <c r="AA83" s="422"/>
      <c r="AB83" s="423" t="s">
        <v>110</v>
      </c>
      <c r="AC83" s="424" t="s">
        <v>668</v>
      </c>
      <c r="AD83" s="425">
        <v>46326</v>
      </c>
      <c r="AE83" s="426"/>
      <c r="AF83" s="381" t="s">
        <v>669</v>
      </c>
      <c r="AG83" s="381" t="s">
        <v>236</v>
      </c>
      <c r="AH83" s="364" t="s">
        <v>236</v>
      </c>
      <c r="AI83" s="382"/>
      <c r="AJ83" s="364" t="s">
        <v>236</v>
      </c>
      <c r="AK83" s="381" t="s">
        <v>670</v>
      </c>
      <c r="AL83" s="427"/>
      <c r="AM83" s="428" t="s">
        <v>671</v>
      </c>
    </row>
    <row r="84" s="67" customFormat="1" ht="61" customHeight="1" spans="1:39">
      <c r="A84" s="363"/>
      <c r="B84" s="364" t="s">
        <v>98</v>
      </c>
      <c r="C84" s="117">
        <v>45972</v>
      </c>
      <c r="D84" s="61">
        <v>38</v>
      </c>
      <c r="E84" s="365" t="s">
        <v>52</v>
      </c>
      <c r="F84" s="61"/>
      <c r="G84" s="61" t="s">
        <v>506</v>
      </c>
      <c r="H84" s="366" t="s">
        <v>672</v>
      </c>
      <c r="I84" s="116" t="s">
        <v>673</v>
      </c>
      <c r="J84" s="61" t="s">
        <v>673</v>
      </c>
      <c r="K84" s="365" t="s">
        <v>244</v>
      </c>
      <c r="L84" s="366" t="s">
        <v>134</v>
      </c>
      <c r="M84" s="429" t="s">
        <v>674</v>
      </c>
      <c r="N84" s="390" t="s">
        <v>156</v>
      </c>
      <c r="O84" s="415" t="s">
        <v>106</v>
      </c>
      <c r="P84" s="367">
        <v>16492604.88</v>
      </c>
      <c r="Q84" s="368"/>
      <c r="R84" s="380" t="s">
        <v>107</v>
      </c>
      <c r="S84" s="369">
        <v>45953</v>
      </c>
      <c r="T84" s="364" t="s">
        <v>675</v>
      </c>
      <c r="U84" s="371" t="s">
        <v>676</v>
      </c>
      <c r="V84" s="400">
        <v>2473890.73</v>
      </c>
      <c r="W84" s="400"/>
      <c r="X84" s="419"/>
      <c r="Y84" s="420"/>
      <c r="Z84" s="421"/>
      <c r="AA84" s="430" t="s">
        <v>677</v>
      </c>
      <c r="AB84" s="381" t="s">
        <v>110</v>
      </c>
      <c r="AC84" s="426" t="s">
        <v>512</v>
      </c>
      <c r="AD84" s="425">
        <v>46203</v>
      </c>
      <c r="AE84" s="426"/>
      <c r="AF84" s="381" t="s">
        <v>678</v>
      </c>
      <c r="AG84" s="381" t="s">
        <v>112</v>
      </c>
      <c r="AH84" s="369" t="s">
        <v>455</v>
      </c>
      <c r="AI84" s="382" t="s">
        <v>679</v>
      </c>
      <c r="AJ84" s="364" t="s">
        <v>680</v>
      </c>
      <c r="AK84" s="381" t="s">
        <v>681</v>
      </c>
      <c r="AL84" s="427"/>
      <c r="AM84" s="428" t="s">
        <v>682</v>
      </c>
    </row>
    <row r="85" s="67" customFormat="1" ht="40" hidden="1" customHeight="1" spans="1:39">
      <c r="A85" s="363"/>
      <c r="B85" s="364" t="s">
        <v>98</v>
      </c>
      <c r="C85" s="117"/>
      <c r="D85" s="61">
        <v>39</v>
      </c>
      <c r="E85" s="365" t="s">
        <v>9</v>
      </c>
      <c r="F85" s="61"/>
      <c r="G85" s="61" t="s">
        <v>683</v>
      </c>
      <c r="H85" s="366" t="s">
        <v>684</v>
      </c>
      <c r="I85" s="116" t="s">
        <v>685</v>
      </c>
      <c r="J85" s="116" t="s">
        <v>685</v>
      </c>
      <c r="K85" s="365" t="s">
        <v>134</v>
      </c>
      <c r="L85" s="366" t="s">
        <v>553</v>
      </c>
      <c r="M85" s="414" t="s">
        <v>686</v>
      </c>
      <c r="N85" s="390" t="s">
        <v>104</v>
      </c>
      <c r="O85" s="415" t="s">
        <v>106</v>
      </c>
      <c r="P85" s="367">
        <v>2390000</v>
      </c>
      <c r="Q85" s="368"/>
      <c r="R85" s="380" t="s">
        <v>107</v>
      </c>
      <c r="S85" s="369">
        <v>45999</v>
      </c>
      <c r="T85" s="364" t="s">
        <v>687</v>
      </c>
      <c r="U85" s="371" t="s">
        <v>688</v>
      </c>
      <c r="V85" s="400"/>
      <c r="W85" s="400"/>
      <c r="X85" s="419"/>
      <c r="Y85" s="420"/>
      <c r="Z85" s="421"/>
      <c r="AA85" s="422" t="s">
        <v>689</v>
      </c>
      <c r="AB85" s="381" t="s">
        <v>110</v>
      </c>
      <c r="AC85" s="424" t="s">
        <v>485</v>
      </c>
      <c r="AD85" s="431">
        <v>46112</v>
      </c>
      <c r="AE85" s="426"/>
      <c r="AF85" s="381" t="s">
        <v>690</v>
      </c>
      <c r="AG85" s="381" t="s">
        <v>112</v>
      </c>
      <c r="AH85" s="417" t="s">
        <v>691</v>
      </c>
      <c r="AI85" s="432">
        <v>0</v>
      </c>
      <c r="AJ85" s="364" t="s">
        <v>692</v>
      </c>
      <c r="AK85" s="366" t="s">
        <v>693</v>
      </c>
      <c r="AL85" s="427"/>
      <c r="AM85" s="428"/>
    </row>
    <row r="86" s="67" customFormat="1" ht="40" hidden="1" customHeight="1" spans="1:39">
      <c r="A86" s="363"/>
      <c r="B86" s="364" t="s">
        <v>98</v>
      </c>
      <c r="C86" s="117"/>
      <c r="D86" s="61">
        <v>39</v>
      </c>
      <c r="E86" s="365" t="s">
        <v>9</v>
      </c>
      <c r="F86" s="61"/>
      <c r="G86" s="61" t="s">
        <v>683</v>
      </c>
      <c r="H86" s="366" t="s">
        <v>694</v>
      </c>
      <c r="I86" s="116" t="s">
        <v>685</v>
      </c>
      <c r="J86" s="116" t="s">
        <v>685</v>
      </c>
      <c r="K86" s="365" t="s">
        <v>695</v>
      </c>
      <c r="L86" s="366" t="s">
        <v>134</v>
      </c>
      <c r="M86" s="414" t="s">
        <v>696</v>
      </c>
      <c r="N86" s="390" t="s">
        <v>104</v>
      </c>
      <c r="O86" s="415" t="s">
        <v>106</v>
      </c>
      <c r="P86" s="367">
        <v>1615900</v>
      </c>
      <c r="Q86" s="433"/>
      <c r="R86" s="380" t="s">
        <v>107</v>
      </c>
      <c r="S86" s="369">
        <v>45974</v>
      </c>
      <c r="T86" s="364" t="s">
        <v>697</v>
      </c>
      <c r="U86" s="371" t="s">
        <v>698</v>
      </c>
      <c r="V86" s="400">
        <v>1615900</v>
      </c>
      <c r="W86" s="400"/>
      <c r="X86" s="419"/>
      <c r="Y86" s="420"/>
      <c r="Z86" s="434"/>
      <c r="AA86" s="422" t="s">
        <v>699</v>
      </c>
      <c r="AB86" s="381" t="s">
        <v>110</v>
      </c>
      <c r="AC86" s="435"/>
      <c r="AD86" s="435"/>
      <c r="AE86" s="435"/>
      <c r="AF86" s="381" t="s">
        <v>700</v>
      </c>
      <c r="AG86" s="381" t="s">
        <v>112</v>
      </c>
      <c r="AH86" s="390"/>
      <c r="AI86" s="432"/>
      <c r="AJ86" s="390"/>
      <c r="AK86" s="381" t="s">
        <v>701</v>
      </c>
      <c r="AL86" s="427"/>
      <c r="AM86" s="428"/>
    </row>
    <row r="87" ht="40" hidden="1" customHeight="1" spans="1:39">
      <c r="A87" s="436"/>
      <c r="B87" s="208" t="s">
        <v>117</v>
      </c>
      <c r="C87" s="437"/>
      <c r="D87" s="279"/>
      <c r="E87" s="279" t="s">
        <v>47</v>
      </c>
      <c r="F87" s="279"/>
      <c r="G87" s="279" t="s">
        <v>506</v>
      </c>
      <c r="H87" s="438" t="s">
        <v>702</v>
      </c>
      <c r="I87" s="61" t="s">
        <v>703</v>
      </c>
      <c r="J87" s="61" t="s">
        <v>703</v>
      </c>
      <c r="K87" s="61" t="s">
        <v>704</v>
      </c>
      <c r="L87" s="61" t="s">
        <v>104</v>
      </c>
      <c r="M87" s="405"/>
      <c r="N87" s="143"/>
      <c r="O87" s="143"/>
      <c r="P87" s="127">
        <v>0</v>
      </c>
      <c r="Q87" s="120"/>
      <c r="R87" s="128" t="s">
        <v>107</v>
      </c>
      <c r="S87" s="117" t="s">
        <v>589</v>
      </c>
      <c r="T87" s="129" t="s">
        <v>705</v>
      </c>
      <c r="U87" s="332"/>
      <c r="V87" s="146"/>
      <c r="W87" s="147"/>
      <c r="X87" s="147"/>
      <c r="Y87" s="411"/>
      <c r="Z87" s="148"/>
      <c r="AA87" s="262" t="s">
        <v>137</v>
      </c>
      <c r="AB87" s="127"/>
      <c r="AC87" s="117"/>
      <c r="AD87" s="121"/>
      <c r="AE87" s="128"/>
      <c r="AF87" s="323" t="s">
        <v>524</v>
      </c>
      <c r="AG87" s="130"/>
      <c r="AH87" s="130"/>
      <c r="AI87" s="116"/>
      <c r="AJ87" s="116"/>
      <c r="AK87" s="130" t="s">
        <v>706</v>
      </c>
      <c r="AL87" s="412"/>
      <c r="AM87" s="409"/>
    </row>
    <row r="88" s="67" customFormat="1" ht="40" hidden="1" customHeight="1" spans="1:39">
      <c r="A88" s="363"/>
      <c r="B88" s="364" t="s">
        <v>98</v>
      </c>
      <c r="C88" s="117"/>
      <c r="D88" s="61"/>
      <c r="E88" s="365" t="s">
        <v>47</v>
      </c>
      <c r="F88" s="61"/>
      <c r="G88" s="61" t="s">
        <v>707</v>
      </c>
      <c r="H88" s="366" t="s">
        <v>708</v>
      </c>
      <c r="I88" s="61" t="s">
        <v>101</v>
      </c>
      <c r="J88" s="61" t="s">
        <v>101</v>
      </c>
      <c r="K88" s="365" t="s">
        <v>709</v>
      </c>
      <c r="L88" s="365" t="s">
        <v>104</v>
      </c>
      <c r="M88" s="414" t="s">
        <v>710</v>
      </c>
      <c r="N88" s="390" t="s">
        <v>104</v>
      </c>
      <c r="O88" s="415" t="s">
        <v>106</v>
      </c>
      <c r="P88" s="367">
        <v>770000</v>
      </c>
      <c r="Q88" s="368"/>
      <c r="R88" s="380" t="s">
        <v>107</v>
      </c>
      <c r="S88" s="417" t="s">
        <v>711</v>
      </c>
      <c r="T88" s="370" t="s">
        <v>712</v>
      </c>
      <c r="U88" s="371" t="s">
        <v>713</v>
      </c>
      <c r="V88" s="400">
        <v>231000</v>
      </c>
      <c r="W88" s="400"/>
      <c r="X88" s="439"/>
      <c r="Y88" s="439"/>
      <c r="Z88" s="434"/>
      <c r="AA88" s="366" t="s">
        <v>714</v>
      </c>
      <c r="AB88" s="423" t="s">
        <v>110</v>
      </c>
      <c r="AC88" s="424" t="s">
        <v>715</v>
      </c>
      <c r="AD88" s="425">
        <v>46387</v>
      </c>
      <c r="AE88" s="422"/>
      <c r="AF88" s="381" t="s">
        <v>716</v>
      </c>
      <c r="AG88" s="381" t="s">
        <v>236</v>
      </c>
      <c r="AH88" s="364" t="s">
        <v>236</v>
      </c>
      <c r="AI88" s="382"/>
      <c r="AJ88" s="364"/>
      <c r="AK88" s="381" t="s">
        <v>717</v>
      </c>
      <c r="AL88" s="427"/>
      <c r="AM88" s="440" t="s">
        <v>718</v>
      </c>
    </row>
    <row r="89" s="67" customFormat="1" ht="40" hidden="1" customHeight="1" spans="1:39">
      <c r="A89" s="363"/>
      <c r="B89" s="364" t="s">
        <v>98</v>
      </c>
      <c r="C89" s="117"/>
      <c r="D89" s="61"/>
      <c r="E89" s="365" t="s">
        <v>47</v>
      </c>
      <c r="F89" s="61"/>
      <c r="G89" s="61" t="s">
        <v>719</v>
      </c>
      <c r="H89" s="366" t="s">
        <v>720</v>
      </c>
      <c r="I89" s="61" t="s">
        <v>721</v>
      </c>
      <c r="J89" s="61" t="s">
        <v>722</v>
      </c>
      <c r="K89" s="365" t="s">
        <v>723</v>
      </c>
      <c r="L89" s="365" t="s">
        <v>104</v>
      </c>
      <c r="M89" s="414" t="s">
        <v>724</v>
      </c>
      <c r="N89" s="390" t="s">
        <v>104</v>
      </c>
      <c r="O89" s="415" t="s">
        <v>106</v>
      </c>
      <c r="P89" s="367">
        <v>341200</v>
      </c>
      <c r="Q89" s="368"/>
      <c r="R89" s="380" t="s">
        <v>107</v>
      </c>
      <c r="S89" s="417" t="s">
        <v>725</v>
      </c>
      <c r="T89" s="370" t="s">
        <v>726</v>
      </c>
      <c r="U89" s="371" t="s">
        <v>727</v>
      </c>
      <c r="V89" s="400"/>
      <c r="W89" s="400"/>
      <c r="X89" s="439"/>
      <c r="Y89" s="439"/>
      <c r="Z89" s="434"/>
      <c r="AA89" s="366" t="s">
        <v>728</v>
      </c>
      <c r="AB89" s="423" t="s">
        <v>110</v>
      </c>
      <c r="AC89" s="424" t="s">
        <v>668</v>
      </c>
      <c r="AD89" s="425">
        <v>46203</v>
      </c>
      <c r="AE89" s="422"/>
      <c r="AF89" s="381" t="s">
        <v>729</v>
      </c>
      <c r="AG89" s="381" t="s">
        <v>236</v>
      </c>
      <c r="AH89" s="364" t="s">
        <v>236</v>
      </c>
      <c r="AI89" s="382"/>
      <c r="AJ89" s="364"/>
      <c r="AK89" s="381" t="s">
        <v>730</v>
      </c>
      <c r="AL89" s="427"/>
      <c r="AM89" s="441" t="s">
        <v>731</v>
      </c>
    </row>
    <row r="90" s="67" customFormat="1" ht="40" hidden="1" customHeight="1" spans="1:39">
      <c r="A90" s="363"/>
      <c r="B90" s="364" t="s">
        <v>98</v>
      </c>
      <c r="C90" s="117"/>
      <c r="D90" s="61"/>
      <c r="E90" s="365" t="s">
        <v>41</v>
      </c>
      <c r="F90" s="61"/>
      <c r="G90" s="61" t="s">
        <v>732</v>
      </c>
      <c r="H90" s="366" t="s">
        <v>733</v>
      </c>
      <c r="I90" s="61" t="s">
        <v>734</v>
      </c>
      <c r="J90" s="61" t="s">
        <v>735</v>
      </c>
      <c r="K90" s="365" t="s">
        <v>736</v>
      </c>
      <c r="L90" s="365" t="s">
        <v>104</v>
      </c>
      <c r="M90" s="414" t="s">
        <v>724</v>
      </c>
      <c r="N90" s="390" t="s">
        <v>104</v>
      </c>
      <c r="O90" s="415" t="s">
        <v>106</v>
      </c>
      <c r="P90" s="367">
        <v>5874806.2</v>
      </c>
      <c r="Q90" s="368"/>
      <c r="R90" s="380" t="s">
        <v>107</v>
      </c>
      <c r="S90" s="369" t="s">
        <v>536</v>
      </c>
      <c r="T90" s="370" t="s">
        <v>737</v>
      </c>
      <c r="U90" s="371" t="s">
        <v>738</v>
      </c>
      <c r="V90" s="400"/>
      <c r="W90" s="400"/>
      <c r="X90" s="439"/>
      <c r="Y90" s="439"/>
      <c r="Z90" s="434"/>
      <c r="AA90" s="366">
        <v>202612</v>
      </c>
      <c r="AB90" s="423"/>
      <c r="AC90" s="424"/>
      <c r="AD90" s="425"/>
      <c r="AE90" s="422"/>
      <c r="AF90" s="381"/>
      <c r="AG90" s="381" t="s">
        <v>194</v>
      </c>
      <c r="AH90" s="364" t="s">
        <v>739</v>
      </c>
      <c r="AI90" s="382">
        <v>0</v>
      </c>
      <c r="AJ90" s="364"/>
      <c r="AK90" s="381" t="s">
        <v>740</v>
      </c>
      <c r="AL90" s="427" t="s">
        <v>741</v>
      </c>
      <c r="AM90" s="428" t="s">
        <v>742</v>
      </c>
    </row>
    <row r="91" s="67" customFormat="1" ht="40" hidden="1" customHeight="1" spans="1:39">
      <c r="A91" s="363"/>
      <c r="B91" s="364" t="s">
        <v>98</v>
      </c>
      <c r="C91" s="117"/>
      <c r="D91" s="61"/>
      <c r="E91" s="365" t="s">
        <v>41</v>
      </c>
      <c r="F91" s="61"/>
      <c r="G91" s="61" t="s">
        <v>743</v>
      </c>
      <c r="H91" s="366" t="s">
        <v>744</v>
      </c>
      <c r="I91" s="61" t="s">
        <v>745</v>
      </c>
      <c r="J91" s="61" t="s">
        <v>734</v>
      </c>
      <c r="K91" s="365" t="s">
        <v>746</v>
      </c>
      <c r="L91" s="365" t="s">
        <v>104</v>
      </c>
      <c r="M91" s="414" t="s">
        <v>724</v>
      </c>
      <c r="N91" s="390" t="s">
        <v>104</v>
      </c>
      <c r="O91" s="415" t="s">
        <v>106</v>
      </c>
      <c r="P91" s="367">
        <v>368519.6</v>
      </c>
      <c r="Q91" s="368"/>
      <c r="R91" s="380" t="s">
        <v>107</v>
      </c>
      <c r="S91" s="369" t="s">
        <v>536</v>
      </c>
      <c r="T91" s="370" t="s">
        <v>747</v>
      </c>
      <c r="U91" s="371" t="s">
        <v>748</v>
      </c>
      <c r="V91" s="400"/>
      <c r="W91" s="400"/>
      <c r="X91" s="439"/>
      <c r="Y91" s="439"/>
      <c r="Z91" s="434"/>
      <c r="AA91" s="366">
        <v>202609</v>
      </c>
      <c r="AB91" s="423"/>
      <c r="AC91" s="424"/>
      <c r="AD91" s="425"/>
      <c r="AE91" s="422"/>
      <c r="AF91" s="381"/>
      <c r="AG91" s="381" t="s">
        <v>236</v>
      </c>
      <c r="AH91" s="364" t="s">
        <v>236</v>
      </c>
      <c r="AI91" s="382"/>
      <c r="AJ91" s="364"/>
      <c r="AK91" s="381" t="s">
        <v>749</v>
      </c>
      <c r="AL91" s="427" t="s">
        <v>741</v>
      </c>
      <c r="AM91" s="428" t="s">
        <v>750</v>
      </c>
    </row>
    <row r="92" s="67" customFormat="1" ht="40" hidden="1" customHeight="1" spans="1:39">
      <c r="A92" s="363"/>
      <c r="B92" s="364" t="s">
        <v>98</v>
      </c>
      <c r="C92" s="117"/>
      <c r="D92" s="61"/>
      <c r="E92" s="365" t="s">
        <v>41</v>
      </c>
      <c r="F92" s="61"/>
      <c r="G92" s="61" t="s">
        <v>732</v>
      </c>
      <c r="H92" s="366" t="s">
        <v>751</v>
      </c>
      <c r="I92" s="61" t="s">
        <v>734</v>
      </c>
      <c r="J92" s="61" t="s">
        <v>752</v>
      </c>
      <c r="K92" s="365" t="s">
        <v>753</v>
      </c>
      <c r="L92" s="365" t="s">
        <v>104</v>
      </c>
      <c r="M92" s="414" t="s">
        <v>754</v>
      </c>
      <c r="N92" s="390" t="s">
        <v>104</v>
      </c>
      <c r="O92" s="415" t="s">
        <v>106</v>
      </c>
      <c r="P92" s="367">
        <v>3206818</v>
      </c>
      <c r="Q92" s="368"/>
      <c r="R92" s="380" t="s">
        <v>107</v>
      </c>
      <c r="S92" s="369" t="s">
        <v>603</v>
      </c>
      <c r="T92" s="370" t="s">
        <v>755</v>
      </c>
      <c r="U92" s="371" t="s">
        <v>756</v>
      </c>
      <c r="V92" s="383">
        <v>1603409</v>
      </c>
      <c r="W92" s="400"/>
      <c r="X92" s="439"/>
      <c r="Y92" s="439"/>
      <c r="Z92" s="434"/>
      <c r="AA92" s="366">
        <v>202608</v>
      </c>
      <c r="AB92" s="423"/>
      <c r="AC92" s="424"/>
      <c r="AD92" s="425"/>
      <c r="AE92" s="422"/>
      <c r="AF92" s="381"/>
      <c r="AG92" s="381" t="s">
        <v>194</v>
      </c>
      <c r="AH92" s="364" t="s">
        <v>757</v>
      </c>
      <c r="AI92" s="382">
        <v>0</v>
      </c>
      <c r="AJ92" s="364"/>
      <c r="AK92" s="381" t="s">
        <v>740</v>
      </c>
      <c r="AL92" s="427" t="s">
        <v>741</v>
      </c>
      <c r="AM92" s="428" t="s">
        <v>758</v>
      </c>
    </row>
    <row r="93" s="67" customFormat="1" ht="40" hidden="1" customHeight="1" spans="1:39">
      <c r="A93" s="363"/>
      <c r="B93" s="364" t="s">
        <v>98</v>
      </c>
      <c r="C93" s="117"/>
      <c r="D93" s="61"/>
      <c r="E93" s="365" t="s">
        <v>41</v>
      </c>
      <c r="F93" s="61"/>
      <c r="G93" s="61" t="s">
        <v>732</v>
      </c>
      <c r="H93" s="366" t="s">
        <v>759</v>
      </c>
      <c r="I93" s="61" t="s">
        <v>734</v>
      </c>
      <c r="J93" s="61" t="s">
        <v>760</v>
      </c>
      <c r="K93" s="365" t="s">
        <v>736</v>
      </c>
      <c r="L93" s="365" t="s">
        <v>104</v>
      </c>
      <c r="M93" s="414" t="s">
        <v>724</v>
      </c>
      <c r="N93" s="390" t="s">
        <v>104</v>
      </c>
      <c r="O93" s="415" t="s">
        <v>106</v>
      </c>
      <c r="P93" s="367">
        <v>5019852.6</v>
      </c>
      <c r="Q93" s="368"/>
      <c r="R93" s="380" t="s">
        <v>107</v>
      </c>
      <c r="S93" s="369" t="s">
        <v>603</v>
      </c>
      <c r="T93" s="370" t="s">
        <v>761</v>
      </c>
      <c r="U93" s="371" t="s">
        <v>762</v>
      </c>
      <c r="V93" s="400"/>
      <c r="W93" s="400"/>
      <c r="X93" s="439"/>
      <c r="Y93" s="439"/>
      <c r="Z93" s="434"/>
      <c r="AA93" s="366">
        <v>202612</v>
      </c>
      <c r="AB93" s="423"/>
      <c r="AC93" s="424"/>
      <c r="AD93" s="425"/>
      <c r="AE93" s="422"/>
      <c r="AF93" s="381"/>
      <c r="AG93" s="381" t="s">
        <v>194</v>
      </c>
      <c r="AH93" s="364" t="s">
        <v>739</v>
      </c>
      <c r="AI93" s="382">
        <v>0</v>
      </c>
      <c r="AJ93" s="364"/>
      <c r="AK93" s="381" t="s">
        <v>740</v>
      </c>
      <c r="AL93" s="427" t="s">
        <v>741</v>
      </c>
      <c r="AM93" s="428" t="s">
        <v>742</v>
      </c>
    </row>
    <row r="94" s="67" customFormat="1" ht="40" hidden="1" customHeight="1" spans="1:39">
      <c r="A94" s="363"/>
      <c r="B94" s="364" t="s">
        <v>98</v>
      </c>
      <c r="C94" s="117"/>
      <c r="D94" s="61"/>
      <c r="E94" s="365" t="s">
        <v>41</v>
      </c>
      <c r="F94" s="61"/>
      <c r="G94" s="61" t="s">
        <v>347</v>
      </c>
      <c r="H94" s="366" t="s">
        <v>763</v>
      </c>
      <c r="I94" s="61" t="s">
        <v>764</v>
      </c>
      <c r="J94" s="61" t="s">
        <v>764</v>
      </c>
      <c r="K94" s="365" t="s">
        <v>723</v>
      </c>
      <c r="L94" s="365" t="s">
        <v>104</v>
      </c>
      <c r="M94" s="414" t="s">
        <v>724</v>
      </c>
      <c r="N94" s="390" t="s">
        <v>104</v>
      </c>
      <c r="O94" s="415" t="s">
        <v>106</v>
      </c>
      <c r="P94" s="367">
        <v>906547.695</v>
      </c>
      <c r="Q94" s="368"/>
      <c r="R94" s="380" t="s">
        <v>107</v>
      </c>
      <c r="S94" s="369" t="s">
        <v>536</v>
      </c>
      <c r="T94" s="370" t="s">
        <v>765</v>
      </c>
      <c r="U94" s="371" t="s">
        <v>766</v>
      </c>
      <c r="V94" s="400"/>
      <c r="W94" s="400"/>
      <c r="X94" s="439"/>
      <c r="Y94" s="439"/>
      <c r="Z94" s="434"/>
      <c r="AA94" s="366">
        <v>202705</v>
      </c>
      <c r="AB94" s="423"/>
      <c r="AC94" s="424"/>
      <c r="AD94" s="425"/>
      <c r="AE94" s="422"/>
      <c r="AF94" s="381"/>
      <c r="AG94" s="381" t="s">
        <v>236</v>
      </c>
      <c r="AH94" s="364" t="s">
        <v>236</v>
      </c>
      <c r="AI94" s="382"/>
      <c r="AJ94" s="364"/>
      <c r="AK94" s="381" t="s">
        <v>767</v>
      </c>
      <c r="AL94" s="387" t="s">
        <v>358</v>
      </c>
      <c r="AM94" s="428" t="s">
        <v>768</v>
      </c>
    </row>
    <row r="95" s="67" customFormat="1" ht="40" hidden="1" customHeight="1" spans="1:39">
      <c r="A95" s="363"/>
      <c r="B95" s="364" t="s">
        <v>98</v>
      </c>
      <c r="C95" s="117"/>
      <c r="D95" s="61"/>
      <c r="E95" s="365" t="s">
        <v>41</v>
      </c>
      <c r="F95" s="61"/>
      <c r="G95" s="61" t="s">
        <v>769</v>
      </c>
      <c r="H95" s="366" t="s">
        <v>770</v>
      </c>
      <c r="I95" s="61" t="s">
        <v>771</v>
      </c>
      <c r="J95" s="61" t="s">
        <v>772</v>
      </c>
      <c r="K95" s="365" t="s">
        <v>773</v>
      </c>
      <c r="L95" s="365" t="s">
        <v>553</v>
      </c>
      <c r="M95" s="414" t="s">
        <v>774</v>
      </c>
      <c r="N95" s="390" t="s">
        <v>104</v>
      </c>
      <c r="O95" s="415" t="s">
        <v>106</v>
      </c>
      <c r="P95" s="367">
        <v>27082000</v>
      </c>
      <c r="Q95" s="368"/>
      <c r="R95" s="380" t="s">
        <v>107</v>
      </c>
      <c r="S95" s="369" t="s">
        <v>775</v>
      </c>
      <c r="T95" s="370" t="s">
        <v>776</v>
      </c>
      <c r="U95" s="371" t="s">
        <v>777</v>
      </c>
      <c r="V95" s="383">
        <v>13541000</v>
      </c>
      <c r="W95" s="400"/>
      <c r="X95" s="420"/>
      <c r="Y95" s="420"/>
      <c r="Z95" s="421"/>
      <c r="AA95" s="366"/>
      <c r="AB95" s="423"/>
      <c r="AC95" s="424"/>
      <c r="AD95" s="425"/>
      <c r="AE95" s="422"/>
      <c r="AF95" s="381"/>
      <c r="AG95" s="381" t="s">
        <v>112</v>
      </c>
      <c r="AH95" s="364" t="s">
        <v>778</v>
      </c>
      <c r="AI95" s="382">
        <v>0</v>
      </c>
      <c r="AJ95" s="364" t="s">
        <v>779</v>
      </c>
      <c r="AK95" s="381" t="s">
        <v>780</v>
      </c>
      <c r="AL95" s="387" t="s">
        <v>98</v>
      </c>
      <c r="AM95" s="442" t="s">
        <v>781</v>
      </c>
    </row>
    <row r="96" s="67" customFormat="1" ht="38" hidden="1" customHeight="1" spans="1:39">
      <c r="A96" s="363"/>
      <c r="B96" s="364" t="s">
        <v>98</v>
      </c>
      <c r="C96" s="117"/>
      <c r="D96" s="61"/>
      <c r="E96" s="365" t="s">
        <v>41</v>
      </c>
      <c r="F96" s="61"/>
      <c r="G96" s="61" t="s">
        <v>732</v>
      </c>
      <c r="H96" s="366" t="s">
        <v>782</v>
      </c>
      <c r="I96" s="61" t="s">
        <v>783</v>
      </c>
      <c r="J96" s="61" t="s">
        <v>784</v>
      </c>
      <c r="K96" s="365" t="s">
        <v>753</v>
      </c>
      <c r="L96" s="365" t="s">
        <v>104</v>
      </c>
      <c r="M96" s="414" t="s">
        <v>785</v>
      </c>
      <c r="N96" s="390" t="s">
        <v>104</v>
      </c>
      <c r="O96" s="415" t="s">
        <v>106</v>
      </c>
      <c r="P96" s="367">
        <v>3759807.28</v>
      </c>
      <c r="Q96" s="368"/>
      <c r="R96" s="380" t="s">
        <v>107</v>
      </c>
      <c r="S96" s="369" t="s">
        <v>775</v>
      </c>
      <c r="T96" s="370" t="s">
        <v>786</v>
      </c>
      <c r="U96" s="371" t="s">
        <v>787</v>
      </c>
      <c r="V96" s="400">
        <v>3195836.19</v>
      </c>
      <c r="W96" s="400"/>
      <c r="X96" s="439"/>
      <c r="Y96" s="439"/>
      <c r="Z96" s="434"/>
      <c r="AA96" s="366"/>
      <c r="AB96" s="423"/>
      <c r="AC96" s="424"/>
      <c r="AD96" s="425"/>
      <c r="AE96" s="422"/>
      <c r="AF96" s="381"/>
      <c r="AG96" s="381" t="s">
        <v>194</v>
      </c>
      <c r="AH96" s="364" t="s">
        <v>739</v>
      </c>
      <c r="AI96" s="382">
        <v>0</v>
      </c>
      <c r="AJ96" s="364"/>
      <c r="AK96" s="381" t="s">
        <v>788</v>
      </c>
      <c r="AL96" s="387" t="s">
        <v>741</v>
      </c>
      <c r="AM96" s="442" t="s">
        <v>789</v>
      </c>
    </row>
    <row r="97" ht="38" hidden="1" customHeight="1" spans="1:39">
      <c r="A97" s="142"/>
      <c r="B97" s="208" t="s">
        <v>117</v>
      </c>
      <c r="C97" s="117"/>
      <c r="D97" s="61"/>
      <c r="E97" s="61" t="s">
        <v>41</v>
      </c>
      <c r="F97" s="61"/>
      <c r="G97" s="61" t="s">
        <v>790</v>
      </c>
      <c r="H97" s="64" t="s">
        <v>791</v>
      </c>
      <c r="I97" s="61" t="s">
        <v>792</v>
      </c>
      <c r="J97" s="61" t="s">
        <v>793</v>
      </c>
      <c r="K97" s="61" t="s">
        <v>746</v>
      </c>
      <c r="L97" s="61" t="s">
        <v>104</v>
      </c>
      <c r="M97" s="405"/>
      <c r="N97" s="143"/>
      <c r="O97" s="143"/>
      <c r="P97" s="127">
        <v>0</v>
      </c>
      <c r="Q97" s="120"/>
      <c r="R97" s="128" t="s">
        <v>107</v>
      </c>
      <c r="S97" s="117" t="s">
        <v>794</v>
      </c>
      <c r="T97" s="129" t="s">
        <v>795</v>
      </c>
      <c r="U97" s="332"/>
      <c r="V97" s="146"/>
      <c r="W97" s="147"/>
      <c r="X97" s="147"/>
      <c r="Y97" s="411"/>
      <c r="Z97" s="148"/>
      <c r="AA97" s="262" t="s">
        <v>137</v>
      </c>
      <c r="AB97" s="127"/>
      <c r="AC97" s="117"/>
      <c r="AD97" s="121"/>
      <c r="AE97" s="128"/>
      <c r="AF97" s="130"/>
      <c r="AG97" s="130"/>
      <c r="AH97" s="130"/>
      <c r="AI97" s="116"/>
      <c r="AJ97" s="116"/>
      <c r="AK97" s="130" t="s">
        <v>796</v>
      </c>
      <c r="AL97" s="412"/>
      <c r="AM97" s="409"/>
    </row>
    <row r="98" s="67" customFormat="1" ht="40" hidden="1" customHeight="1" spans="1:39">
      <c r="A98" s="363"/>
      <c r="B98" s="364" t="s">
        <v>98</v>
      </c>
      <c r="C98" s="117"/>
      <c r="D98" s="61"/>
      <c r="E98" s="365" t="s">
        <v>41</v>
      </c>
      <c r="F98" s="61"/>
      <c r="G98" s="61" t="s">
        <v>797</v>
      </c>
      <c r="H98" s="366" t="s">
        <v>798</v>
      </c>
      <c r="I98" s="61" t="s">
        <v>799</v>
      </c>
      <c r="J98" s="61" t="s">
        <v>800</v>
      </c>
      <c r="K98" s="365" t="s">
        <v>723</v>
      </c>
      <c r="L98" s="365" t="s">
        <v>104</v>
      </c>
      <c r="M98" s="414" t="s">
        <v>724</v>
      </c>
      <c r="N98" s="390" t="s">
        <v>104</v>
      </c>
      <c r="O98" s="415" t="s">
        <v>106</v>
      </c>
      <c r="P98" s="367">
        <v>774860</v>
      </c>
      <c r="Q98" s="368"/>
      <c r="R98" s="380" t="s">
        <v>107</v>
      </c>
      <c r="S98" s="369" t="s">
        <v>536</v>
      </c>
      <c r="T98" s="370" t="s">
        <v>801</v>
      </c>
      <c r="U98" s="371" t="s">
        <v>802</v>
      </c>
      <c r="V98" s="400"/>
      <c r="W98" s="400"/>
      <c r="X98" s="439"/>
      <c r="Y98" s="439"/>
      <c r="Z98" s="434"/>
      <c r="AA98" s="366"/>
      <c r="AB98" s="423"/>
      <c r="AC98" s="424"/>
      <c r="AD98" s="425"/>
      <c r="AE98" s="422"/>
      <c r="AF98" s="381"/>
      <c r="AG98" s="381" t="s">
        <v>236</v>
      </c>
      <c r="AH98" s="364" t="s">
        <v>236</v>
      </c>
      <c r="AI98" s="382"/>
      <c r="AJ98" s="364"/>
      <c r="AK98" s="381" t="s">
        <v>803</v>
      </c>
      <c r="AL98" s="387" t="s">
        <v>804</v>
      </c>
      <c r="AM98" s="442" t="s">
        <v>804</v>
      </c>
    </row>
    <row r="99" s="67" customFormat="1" ht="40" hidden="1" customHeight="1" spans="1:39">
      <c r="A99" s="363"/>
      <c r="B99" s="364" t="s">
        <v>98</v>
      </c>
      <c r="C99" s="117"/>
      <c r="D99" s="61"/>
      <c r="E99" s="365" t="s">
        <v>41</v>
      </c>
      <c r="F99" s="61"/>
      <c r="G99" s="61" t="s">
        <v>732</v>
      </c>
      <c r="H99" s="366" t="s">
        <v>805</v>
      </c>
      <c r="I99" s="61" t="s">
        <v>806</v>
      </c>
      <c r="J99" s="61" t="s">
        <v>752</v>
      </c>
      <c r="K99" s="365" t="s">
        <v>736</v>
      </c>
      <c r="L99" s="365" t="s">
        <v>104</v>
      </c>
      <c r="M99" s="414" t="s">
        <v>724</v>
      </c>
      <c r="N99" s="390" t="s">
        <v>104</v>
      </c>
      <c r="O99" s="415" t="s">
        <v>106</v>
      </c>
      <c r="P99" s="367">
        <v>2150000</v>
      </c>
      <c r="Q99" s="368"/>
      <c r="R99" s="380" t="s">
        <v>107</v>
      </c>
      <c r="S99" s="369" t="s">
        <v>536</v>
      </c>
      <c r="T99" s="370" t="s">
        <v>807</v>
      </c>
      <c r="U99" s="371" t="s">
        <v>756</v>
      </c>
      <c r="V99" s="400"/>
      <c r="W99" s="400"/>
      <c r="X99" s="439"/>
      <c r="Y99" s="439"/>
      <c r="Z99" s="434"/>
      <c r="AA99" s="366"/>
      <c r="AB99" s="423"/>
      <c r="AC99" s="424"/>
      <c r="AD99" s="425"/>
      <c r="AE99" s="422"/>
      <c r="AF99" s="381"/>
      <c r="AG99" s="381" t="s">
        <v>112</v>
      </c>
      <c r="AH99" s="364" t="s">
        <v>757</v>
      </c>
      <c r="AI99" s="382"/>
      <c r="AJ99" s="364"/>
      <c r="AK99" s="381" t="s">
        <v>740</v>
      </c>
      <c r="AL99" s="427" t="s">
        <v>741</v>
      </c>
      <c r="AM99" s="428" t="s">
        <v>742</v>
      </c>
    </row>
    <row r="100" s="67" customFormat="1" ht="40" hidden="1" customHeight="1" spans="1:39">
      <c r="A100" s="363"/>
      <c r="B100" s="364" t="s">
        <v>98</v>
      </c>
      <c r="C100" s="117"/>
      <c r="D100" s="61"/>
      <c r="E100" s="365" t="s">
        <v>49</v>
      </c>
      <c r="F100" s="61"/>
      <c r="G100" s="61" t="s">
        <v>808</v>
      </c>
      <c r="H100" s="366" t="s">
        <v>809</v>
      </c>
      <c r="I100" s="61" t="s">
        <v>810</v>
      </c>
      <c r="J100" s="61" t="s">
        <v>811</v>
      </c>
      <c r="K100" s="365" t="s">
        <v>812</v>
      </c>
      <c r="L100" s="365" t="s">
        <v>104</v>
      </c>
      <c r="M100" s="414" t="s">
        <v>813</v>
      </c>
      <c r="N100" s="390" t="s">
        <v>104</v>
      </c>
      <c r="O100" s="415" t="s">
        <v>106</v>
      </c>
      <c r="P100" s="367">
        <v>8497827.54</v>
      </c>
      <c r="Q100" s="368"/>
      <c r="R100" s="380" t="s">
        <v>107</v>
      </c>
      <c r="S100" s="369" t="s">
        <v>536</v>
      </c>
      <c r="T100" s="370" t="s">
        <v>814</v>
      </c>
      <c r="U100" s="371" t="s">
        <v>815</v>
      </c>
      <c r="V100" s="400"/>
      <c r="W100" s="400"/>
      <c r="X100" s="439"/>
      <c r="Y100" s="439"/>
      <c r="Z100" s="434"/>
      <c r="AA100" s="366"/>
      <c r="AB100" s="423" t="s">
        <v>110</v>
      </c>
      <c r="AC100" s="424" t="s">
        <v>715</v>
      </c>
      <c r="AD100" s="425">
        <v>46295</v>
      </c>
      <c r="AE100" s="422"/>
      <c r="AF100" s="381" t="s">
        <v>816</v>
      </c>
      <c r="AG100" s="381" t="s">
        <v>194</v>
      </c>
      <c r="AH100" s="364" t="s">
        <v>817</v>
      </c>
      <c r="AI100" s="382"/>
      <c r="AJ100" s="364" t="s">
        <v>818</v>
      </c>
      <c r="AK100" s="381" t="s">
        <v>819</v>
      </c>
      <c r="AL100" s="427"/>
      <c r="AM100" s="428"/>
    </row>
    <row r="101" s="67" customFormat="1" ht="40" hidden="1" customHeight="1" spans="1:39">
      <c r="A101" s="363"/>
      <c r="B101" s="364" t="s">
        <v>98</v>
      </c>
      <c r="C101" s="117"/>
      <c r="D101" s="61"/>
      <c r="E101" s="365" t="s">
        <v>9</v>
      </c>
      <c r="F101" s="61"/>
      <c r="G101" s="61" t="s">
        <v>820</v>
      </c>
      <c r="H101" s="366" t="s">
        <v>821</v>
      </c>
      <c r="I101" s="61" t="s">
        <v>822</v>
      </c>
      <c r="J101" s="61" t="s">
        <v>823</v>
      </c>
      <c r="K101" s="365" t="s">
        <v>723</v>
      </c>
      <c r="L101" s="365" t="s">
        <v>104</v>
      </c>
      <c r="M101" s="414" t="s">
        <v>824</v>
      </c>
      <c r="N101" s="390" t="s">
        <v>104</v>
      </c>
      <c r="O101" s="415" t="s">
        <v>106</v>
      </c>
      <c r="P101" s="367">
        <v>848000</v>
      </c>
      <c r="Q101" s="368"/>
      <c r="R101" s="380" t="s">
        <v>107</v>
      </c>
      <c r="S101" s="369" t="s">
        <v>536</v>
      </c>
      <c r="T101" s="370" t="s">
        <v>825</v>
      </c>
      <c r="U101" s="371" t="s">
        <v>826</v>
      </c>
      <c r="V101" s="400"/>
      <c r="W101" s="400"/>
      <c r="X101" s="439"/>
      <c r="Y101" s="439"/>
      <c r="Z101" s="434"/>
      <c r="AA101" s="366"/>
      <c r="AB101" s="423"/>
      <c r="AC101" s="424"/>
      <c r="AD101" s="425"/>
      <c r="AE101" s="422"/>
      <c r="AF101" s="381"/>
      <c r="AG101" s="381" t="s">
        <v>236</v>
      </c>
      <c r="AH101" s="364" t="s">
        <v>236</v>
      </c>
      <c r="AI101" s="382"/>
      <c r="AJ101" s="364"/>
      <c r="AK101" s="381" t="s">
        <v>827</v>
      </c>
      <c r="AL101" s="427"/>
      <c r="AM101" s="428"/>
    </row>
    <row r="102" s="67" customFormat="1" ht="40" customHeight="1" spans="1:39">
      <c r="A102" s="363"/>
      <c r="B102" s="364" t="s">
        <v>98</v>
      </c>
      <c r="C102" s="117"/>
      <c r="D102" s="61"/>
      <c r="E102" s="365" t="s">
        <v>9</v>
      </c>
      <c r="F102" s="61"/>
      <c r="G102" s="61" t="s">
        <v>828</v>
      </c>
      <c r="H102" s="366" t="s">
        <v>829</v>
      </c>
      <c r="I102" s="61" t="s">
        <v>830</v>
      </c>
      <c r="J102" s="61" t="s">
        <v>830</v>
      </c>
      <c r="K102" s="365" t="s">
        <v>746</v>
      </c>
      <c r="L102" s="365" t="s">
        <v>104</v>
      </c>
      <c r="M102" s="443" t="s">
        <v>831</v>
      </c>
      <c r="N102" s="390" t="s">
        <v>226</v>
      </c>
      <c r="O102" s="415" t="s">
        <v>106</v>
      </c>
      <c r="P102" s="367">
        <v>5636920</v>
      </c>
      <c r="Q102" s="368"/>
      <c r="R102" s="380" t="s">
        <v>107</v>
      </c>
      <c r="S102" s="369" t="s">
        <v>536</v>
      </c>
      <c r="T102" s="370" t="s">
        <v>832</v>
      </c>
      <c r="U102" s="371" t="s">
        <v>833</v>
      </c>
      <c r="V102" s="400"/>
      <c r="W102" s="400">
        <v>1127384</v>
      </c>
      <c r="X102" s="420" t="s">
        <v>834</v>
      </c>
      <c r="Y102" s="420" t="s">
        <v>536</v>
      </c>
      <c r="Z102" s="421">
        <v>202606</v>
      </c>
      <c r="AA102" s="366"/>
      <c r="AB102" s="423"/>
      <c r="AC102" s="424"/>
      <c r="AD102" s="425"/>
      <c r="AE102" s="422"/>
      <c r="AF102" s="381"/>
      <c r="AG102" s="381" t="s">
        <v>236</v>
      </c>
      <c r="AH102" s="364" t="s">
        <v>236</v>
      </c>
      <c r="AI102" s="382"/>
      <c r="AJ102" s="364"/>
      <c r="AK102" s="381" t="s">
        <v>835</v>
      </c>
      <c r="AL102" s="427"/>
      <c r="AM102" s="428"/>
    </row>
    <row r="103" s="67" customFormat="1" ht="40" customHeight="1" spans="1:39">
      <c r="A103" s="363"/>
      <c r="B103" s="364" t="s">
        <v>98</v>
      </c>
      <c r="C103" s="117"/>
      <c r="D103" s="61"/>
      <c r="E103" s="365" t="s">
        <v>9</v>
      </c>
      <c r="F103" s="61"/>
      <c r="G103" s="61" t="s">
        <v>836</v>
      </c>
      <c r="H103" s="366" t="s">
        <v>837</v>
      </c>
      <c r="I103" s="61" t="s">
        <v>822</v>
      </c>
      <c r="J103" s="61" t="s">
        <v>838</v>
      </c>
      <c r="K103" s="365" t="s">
        <v>434</v>
      </c>
      <c r="L103" s="365" t="s">
        <v>104</v>
      </c>
      <c r="M103" s="443" t="s">
        <v>839</v>
      </c>
      <c r="N103" s="390" t="s">
        <v>226</v>
      </c>
      <c r="O103" s="415" t="s">
        <v>106</v>
      </c>
      <c r="P103" s="367">
        <v>599960</v>
      </c>
      <c r="Q103" s="368"/>
      <c r="R103" s="380" t="s">
        <v>107</v>
      </c>
      <c r="S103" s="369" t="s">
        <v>536</v>
      </c>
      <c r="T103" s="370" t="s">
        <v>840</v>
      </c>
      <c r="U103" s="371" t="s">
        <v>841</v>
      </c>
      <c r="V103" s="400"/>
      <c r="W103" s="400">
        <v>359976</v>
      </c>
      <c r="X103" s="420" t="s">
        <v>834</v>
      </c>
      <c r="Y103" s="420" t="s">
        <v>536</v>
      </c>
      <c r="Z103" s="421">
        <v>202604</v>
      </c>
      <c r="AA103" s="366"/>
      <c r="AB103" s="423"/>
      <c r="AC103" s="424"/>
      <c r="AD103" s="425"/>
      <c r="AE103" s="422"/>
      <c r="AF103" s="381"/>
      <c r="AG103" s="381" t="s">
        <v>236</v>
      </c>
      <c r="AH103" s="364" t="s">
        <v>236</v>
      </c>
      <c r="AI103" s="382"/>
      <c r="AJ103" s="364"/>
      <c r="AK103" s="381" t="s">
        <v>842</v>
      </c>
      <c r="AL103" s="427"/>
      <c r="AM103" s="428"/>
    </row>
    <row r="104" s="67" customFormat="1" ht="40" hidden="1" customHeight="1" spans="1:39">
      <c r="A104" s="363"/>
      <c r="B104" s="364" t="s">
        <v>98</v>
      </c>
      <c r="C104" s="117"/>
      <c r="D104" s="61"/>
      <c r="E104" s="365" t="s">
        <v>9</v>
      </c>
      <c r="F104" s="61"/>
      <c r="G104" s="61" t="s">
        <v>843</v>
      </c>
      <c r="H104" s="366" t="s">
        <v>844</v>
      </c>
      <c r="I104" s="61" t="s">
        <v>845</v>
      </c>
      <c r="J104" s="61" t="s">
        <v>846</v>
      </c>
      <c r="K104" s="365" t="s">
        <v>847</v>
      </c>
      <c r="L104" s="365" t="s">
        <v>104</v>
      </c>
      <c r="M104" s="414" t="s">
        <v>848</v>
      </c>
      <c r="N104" s="390" t="s">
        <v>104</v>
      </c>
      <c r="O104" s="415" t="s">
        <v>106</v>
      </c>
      <c r="P104" s="367">
        <v>3484940.8</v>
      </c>
      <c r="Q104" s="368"/>
      <c r="R104" s="380" t="s">
        <v>107</v>
      </c>
      <c r="S104" s="369" t="s">
        <v>603</v>
      </c>
      <c r="T104" s="370" t="s">
        <v>849</v>
      </c>
      <c r="U104" s="371" t="s">
        <v>850</v>
      </c>
      <c r="V104" s="400">
        <v>1045482.24</v>
      </c>
      <c r="W104" s="400"/>
      <c r="X104" s="420"/>
      <c r="Y104" s="420"/>
      <c r="Z104" s="421"/>
      <c r="AA104" s="366"/>
      <c r="AB104" s="423"/>
      <c r="AC104" s="424"/>
      <c r="AD104" s="425"/>
      <c r="AE104" s="422"/>
      <c r="AF104" s="381"/>
      <c r="AG104" s="381" t="s">
        <v>236</v>
      </c>
      <c r="AH104" s="364" t="s">
        <v>236</v>
      </c>
      <c r="AI104" s="382"/>
      <c r="AJ104" s="364"/>
      <c r="AK104" s="381" t="s">
        <v>851</v>
      </c>
      <c r="AL104" s="427"/>
      <c r="AM104" s="428"/>
    </row>
    <row r="105" s="67" customFormat="1" ht="40" hidden="1" customHeight="1" spans="1:39">
      <c r="A105" s="363"/>
      <c r="B105" s="364" t="s">
        <v>98</v>
      </c>
      <c r="C105" s="117"/>
      <c r="D105" s="61"/>
      <c r="E105" s="365" t="s">
        <v>9</v>
      </c>
      <c r="F105" s="61"/>
      <c r="G105" s="61" t="s">
        <v>852</v>
      </c>
      <c r="H105" s="366" t="s">
        <v>853</v>
      </c>
      <c r="I105" s="61" t="s">
        <v>854</v>
      </c>
      <c r="J105" s="61" t="s">
        <v>855</v>
      </c>
      <c r="K105" s="365" t="s">
        <v>746</v>
      </c>
      <c r="L105" s="365" t="s">
        <v>104</v>
      </c>
      <c r="M105" s="414" t="s">
        <v>856</v>
      </c>
      <c r="N105" s="390" t="s">
        <v>104</v>
      </c>
      <c r="O105" s="415" t="s">
        <v>106</v>
      </c>
      <c r="P105" s="367">
        <v>2000000</v>
      </c>
      <c r="Q105" s="368"/>
      <c r="R105" s="380" t="s">
        <v>107</v>
      </c>
      <c r="S105" s="369" t="s">
        <v>857</v>
      </c>
      <c r="T105" s="370" t="s">
        <v>858</v>
      </c>
      <c r="U105" s="371" t="s">
        <v>859</v>
      </c>
      <c r="V105" s="400">
        <v>1200000</v>
      </c>
      <c r="W105" s="400"/>
      <c r="X105" s="420"/>
      <c r="Y105" s="420"/>
      <c r="Z105" s="421"/>
      <c r="AA105" s="366"/>
      <c r="AB105" s="423"/>
      <c r="AC105" s="424"/>
      <c r="AD105" s="425"/>
      <c r="AE105" s="422"/>
      <c r="AF105" s="381"/>
      <c r="AG105" s="381" t="s">
        <v>236</v>
      </c>
      <c r="AH105" s="364" t="s">
        <v>236</v>
      </c>
      <c r="AI105" s="382"/>
      <c r="AJ105" s="364"/>
      <c r="AK105" s="381" t="s">
        <v>860</v>
      </c>
      <c r="AL105" s="427"/>
      <c r="AM105" s="428"/>
    </row>
    <row r="106" s="67" customFormat="1" ht="40" hidden="1" customHeight="1" spans="1:39">
      <c r="A106" s="363"/>
      <c r="B106" s="364" t="s">
        <v>98</v>
      </c>
      <c r="C106" s="117"/>
      <c r="D106" s="61"/>
      <c r="E106" s="365" t="s">
        <v>7</v>
      </c>
      <c r="F106" s="61" t="s">
        <v>861</v>
      </c>
      <c r="G106" s="61" t="s">
        <v>862</v>
      </c>
      <c r="H106" s="366" t="s">
        <v>863</v>
      </c>
      <c r="I106" s="61" t="s">
        <v>864</v>
      </c>
      <c r="J106" s="61" t="s">
        <v>864</v>
      </c>
      <c r="K106" s="365" t="s">
        <v>865</v>
      </c>
      <c r="L106" s="365" t="s">
        <v>104</v>
      </c>
      <c r="M106" s="414" t="s">
        <v>824</v>
      </c>
      <c r="N106" s="390" t="s">
        <v>104</v>
      </c>
      <c r="O106" s="415" t="s">
        <v>106</v>
      </c>
      <c r="P106" s="367">
        <v>594660</v>
      </c>
      <c r="Q106" s="368"/>
      <c r="R106" s="380" t="s">
        <v>107</v>
      </c>
      <c r="S106" s="369" t="s">
        <v>536</v>
      </c>
      <c r="T106" s="370" t="s">
        <v>866</v>
      </c>
      <c r="U106" s="371" t="s">
        <v>867</v>
      </c>
      <c r="V106" s="400"/>
      <c r="W106" s="400"/>
      <c r="X106" s="439"/>
      <c r="Y106" s="439"/>
      <c r="Z106" s="434"/>
      <c r="AA106" s="430"/>
      <c r="AB106" s="390" t="s">
        <v>110</v>
      </c>
      <c r="AC106" s="365" t="s">
        <v>868</v>
      </c>
      <c r="AD106" s="369">
        <v>46387</v>
      </c>
      <c r="AE106" s="422" t="s">
        <v>869</v>
      </c>
      <c r="AF106" s="381" t="s">
        <v>690</v>
      </c>
      <c r="AG106" s="381" t="s">
        <v>236</v>
      </c>
      <c r="AH106" s="364" t="s">
        <v>236</v>
      </c>
      <c r="AI106" s="382"/>
      <c r="AJ106" s="364"/>
      <c r="AK106" s="381" t="s">
        <v>870</v>
      </c>
      <c r="AL106" s="427"/>
      <c r="AM106" s="428"/>
    </row>
    <row r="107" s="67" customFormat="1" ht="40" hidden="1" customHeight="1" spans="1:39">
      <c r="A107" s="363"/>
      <c r="B107" s="364" t="s">
        <v>98</v>
      </c>
      <c r="C107" s="117"/>
      <c r="D107" s="61"/>
      <c r="E107" s="365" t="s">
        <v>7</v>
      </c>
      <c r="F107" s="61" t="s">
        <v>871</v>
      </c>
      <c r="G107" s="61" t="s">
        <v>872</v>
      </c>
      <c r="H107" s="366" t="s">
        <v>873</v>
      </c>
      <c r="I107" s="61" t="s">
        <v>874</v>
      </c>
      <c r="J107" s="61" t="s">
        <v>874</v>
      </c>
      <c r="K107" s="365" t="s">
        <v>875</v>
      </c>
      <c r="L107" s="365" t="s">
        <v>134</v>
      </c>
      <c r="M107" s="444" t="s">
        <v>876</v>
      </c>
      <c r="N107" s="390" t="s">
        <v>104</v>
      </c>
      <c r="O107" s="415" t="s">
        <v>106</v>
      </c>
      <c r="P107" s="367">
        <v>9009576</v>
      </c>
      <c r="Q107" s="368"/>
      <c r="R107" s="380" t="s">
        <v>107</v>
      </c>
      <c r="S107" s="369" t="s">
        <v>536</v>
      </c>
      <c r="T107" s="370" t="s">
        <v>877</v>
      </c>
      <c r="U107" s="371" t="s">
        <v>878</v>
      </c>
      <c r="V107" s="400">
        <v>1801915.2</v>
      </c>
      <c r="W107" s="400" t="s">
        <v>125</v>
      </c>
      <c r="X107" s="420"/>
      <c r="Y107" s="420"/>
      <c r="Z107" s="421"/>
      <c r="AA107" s="430"/>
      <c r="AB107" s="423" t="s">
        <v>110</v>
      </c>
      <c r="AC107" s="424" t="s">
        <v>512</v>
      </c>
      <c r="AD107" s="425">
        <v>46446</v>
      </c>
      <c r="AE107" s="422" t="s">
        <v>869</v>
      </c>
      <c r="AF107" s="381" t="s">
        <v>879</v>
      </c>
      <c r="AG107" s="381" t="s">
        <v>194</v>
      </c>
      <c r="AH107" s="364" t="s">
        <v>880</v>
      </c>
      <c r="AI107" s="382"/>
      <c r="AJ107" s="364"/>
      <c r="AK107" s="381" t="s">
        <v>881</v>
      </c>
      <c r="AL107" s="427"/>
      <c r="AM107" s="428"/>
    </row>
    <row r="108" s="67" customFormat="1" ht="68" customHeight="1" spans="1:39">
      <c r="A108" s="363"/>
      <c r="B108" s="364" t="s">
        <v>98</v>
      </c>
      <c r="C108" s="117"/>
      <c r="D108" s="61"/>
      <c r="E108" s="365" t="s">
        <v>7</v>
      </c>
      <c r="F108" s="61" t="s">
        <v>882</v>
      </c>
      <c r="G108" s="61" t="s">
        <v>883</v>
      </c>
      <c r="H108" s="366" t="s">
        <v>884</v>
      </c>
      <c r="I108" s="61" t="s">
        <v>885</v>
      </c>
      <c r="J108" s="61" t="s">
        <v>885</v>
      </c>
      <c r="K108" s="365" t="s">
        <v>886</v>
      </c>
      <c r="L108" s="365" t="s">
        <v>134</v>
      </c>
      <c r="M108" s="414" t="s">
        <v>887</v>
      </c>
      <c r="N108" s="390" t="s">
        <v>226</v>
      </c>
      <c r="O108" s="415" t="s">
        <v>106</v>
      </c>
      <c r="P108" s="367">
        <v>504800</v>
      </c>
      <c r="Q108" s="368"/>
      <c r="R108" s="380" t="s">
        <v>107</v>
      </c>
      <c r="S108" s="369" t="s">
        <v>536</v>
      </c>
      <c r="T108" s="370" t="s">
        <v>888</v>
      </c>
      <c r="U108" s="371" t="s">
        <v>889</v>
      </c>
      <c r="V108" s="400">
        <v>225280</v>
      </c>
      <c r="W108" s="400">
        <v>77600</v>
      </c>
      <c r="X108" s="420" t="s">
        <v>834</v>
      </c>
      <c r="Y108" s="420" t="s">
        <v>536</v>
      </c>
      <c r="Z108" s="445">
        <v>202609</v>
      </c>
      <c r="AA108" s="430"/>
      <c r="AB108" s="423" t="s">
        <v>110</v>
      </c>
      <c r="AC108" s="424" t="s">
        <v>715</v>
      </c>
      <c r="AD108" s="425">
        <v>46387</v>
      </c>
      <c r="AE108" s="422" t="s">
        <v>869</v>
      </c>
      <c r="AF108" s="381" t="s">
        <v>890</v>
      </c>
      <c r="AG108" s="381" t="s">
        <v>112</v>
      </c>
      <c r="AH108" s="364" t="s">
        <v>891</v>
      </c>
      <c r="AI108" s="382">
        <f>58500+17392.2</f>
        <v>75892.2</v>
      </c>
      <c r="AJ108" s="364" t="s">
        <v>892</v>
      </c>
      <c r="AK108" s="381"/>
      <c r="AL108" s="427"/>
      <c r="AM108" s="428"/>
    </row>
    <row r="109" s="67" customFormat="1" ht="40" hidden="1" customHeight="1" spans="1:39">
      <c r="A109" s="363"/>
      <c r="B109" s="364" t="s">
        <v>98</v>
      </c>
      <c r="C109" s="117"/>
      <c r="D109" s="61"/>
      <c r="E109" s="365" t="s">
        <v>7</v>
      </c>
      <c r="F109" s="61" t="s">
        <v>871</v>
      </c>
      <c r="G109" s="61" t="s">
        <v>872</v>
      </c>
      <c r="H109" s="366" t="s">
        <v>893</v>
      </c>
      <c r="I109" s="61" t="s">
        <v>894</v>
      </c>
      <c r="J109" s="61" t="s">
        <v>894</v>
      </c>
      <c r="K109" s="365" t="s">
        <v>704</v>
      </c>
      <c r="L109" s="365" t="s">
        <v>104</v>
      </c>
      <c r="M109" s="414" t="s">
        <v>895</v>
      </c>
      <c r="N109" s="390" t="s">
        <v>104</v>
      </c>
      <c r="O109" s="415" t="s">
        <v>106</v>
      </c>
      <c r="P109" s="367">
        <v>899940</v>
      </c>
      <c r="Q109" s="368"/>
      <c r="R109" s="380" t="s">
        <v>107</v>
      </c>
      <c r="S109" s="369" t="s">
        <v>896</v>
      </c>
      <c r="T109" s="370" t="s">
        <v>897</v>
      </c>
      <c r="U109" s="371" t="s">
        <v>898</v>
      </c>
      <c r="V109" s="400">
        <v>359976</v>
      </c>
      <c r="W109" s="400"/>
      <c r="X109" s="420"/>
      <c r="Y109" s="420"/>
      <c r="Z109" s="421"/>
      <c r="AA109" s="430"/>
      <c r="AB109" s="423" t="s">
        <v>110</v>
      </c>
      <c r="AC109" s="424" t="s">
        <v>512</v>
      </c>
      <c r="AD109" s="425">
        <v>46234</v>
      </c>
      <c r="AE109" s="422" t="s">
        <v>869</v>
      </c>
      <c r="AF109" s="381" t="s">
        <v>899</v>
      </c>
      <c r="AG109" s="381" t="s">
        <v>112</v>
      </c>
      <c r="AH109" s="364" t="s">
        <v>113</v>
      </c>
      <c r="AI109" s="382"/>
      <c r="AJ109" s="364" t="s">
        <v>900</v>
      </c>
      <c r="AK109" s="381" t="s">
        <v>901</v>
      </c>
      <c r="AL109" s="427"/>
      <c r="AM109" s="428"/>
    </row>
    <row r="110" s="67" customFormat="1" ht="40" hidden="1" customHeight="1" spans="1:39">
      <c r="A110" s="363"/>
      <c r="B110" s="364" t="s">
        <v>98</v>
      </c>
      <c r="C110" s="117"/>
      <c r="D110" s="61"/>
      <c r="E110" s="365" t="s">
        <v>7</v>
      </c>
      <c r="F110" s="61" t="s">
        <v>902</v>
      </c>
      <c r="G110" s="61" t="s">
        <v>903</v>
      </c>
      <c r="H110" s="366" t="s">
        <v>904</v>
      </c>
      <c r="I110" s="61" t="s">
        <v>905</v>
      </c>
      <c r="J110" s="61" t="s">
        <v>905</v>
      </c>
      <c r="K110" s="365" t="s">
        <v>746</v>
      </c>
      <c r="L110" s="365" t="s">
        <v>104</v>
      </c>
      <c r="M110" s="446" t="s">
        <v>906</v>
      </c>
      <c r="N110" s="390" t="s">
        <v>104</v>
      </c>
      <c r="O110" s="415" t="s">
        <v>106</v>
      </c>
      <c r="P110" s="367">
        <v>450000</v>
      </c>
      <c r="Q110" s="368"/>
      <c r="R110" s="380" t="s">
        <v>107</v>
      </c>
      <c r="S110" s="369" t="s">
        <v>907</v>
      </c>
      <c r="T110" s="370" t="s">
        <v>902</v>
      </c>
      <c r="U110" s="371" t="s">
        <v>908</v>
      </c>
      <c r="V110" s="400">
        <v>180000</v>
      </c>
      <c r="W110" s="400" t="s">
        <v>125</v>
      </c>
      <c r="X110" s="420"/>
      <c r="Y110" s="420"/>
      <c r="Z110" s="421"/>
      <c r="AA110" s="430"/>
      <c r="AB110" s="423" t="s">
        <v>110</v>
      </c>
      <c r="AC110" s="365" t="s">
        <v>668</v>
      </c>
      <c r="AD110" s="369">
        <v>46295</v>
      </c>
      <c r="AE110" s="422" t="s">
        <v>869</v>
      </c>
      <c r="AF110" s="381"/>
      <c r="AG110" s="381" t="s">
        <v>236</v>
      </c>
      <c r="AH110" s="364"/>
      <c r="AI110" s="382"/>
      <c r="AJ110" s="364" t="s">
        <v>909</v>
      </c>
      <c r="AK110" s="381" t="s">
        <v>910</v>
      </c>
      <c r="AL110" s="427"/>
      <c r="AM110" s="428"/>
    </row>
    <row r="111" s="67" customFormat="1" ht="40" hidden="1" customHeight="1" spans="1:39">
      <c r="A111" s="363"/>
      <c r="B111" s="364" t="s">
        <v>98</v>
      </c>
      <c r="C111" s="117"/>
      <c r="D111" s="61"/>
      <c r="E111" s="365" t="s">
        <v>7</v>
      </c>
      <c r="F111" s="61" t="s">
        <v>911</v>
      </c>
      <c r="G111" s="61" t="s">
        <v>912</v>
      </c>
      <c r="H111" s="366" t="s">
        <v>913</v>
      </c>
      <c r="I111" s="61" t="s">
        <v>914</v>
      </c>
      <c r="J111" s="61" t="s">
        <v>915</v>
      </c>
      <c r="K111" s="365" t="s">
        <v>723</v>
      </c>
      <c r="L111" s="365" t="s">
        <v>104</v>
      </c>
      <c r="M111" s="414" t="s">
        <v>824</v>
      </c>
      <c r="N111" s="390" t="s">
        <v>104</v>
      </c>
      <c r="O111" s="415" t="s">
        <v>106</v>
      </c>
      <c r="P111" s="367">
        <v>715500</v>
      </c>
      <c r="Q111" s="368"/>
      <c r="R111" s="380" t="s">
        <v>107</v>
      </c>
      <c r="S111" s="369" t="s">
        <v>916</v>
      </c>
      <c r="T111" s="370" t="s">
        <v>917</v>
      </c>
      <c r="U111" s="371" t="s">
        <v>918</v>
      </c>
      <c r="V111" s="400"/>
      <c r="W111" s="400"/>
      <c r="X111" s="439"/>
      <c r="Y111" s="439"/>
      <c r="Z111" s="434"/>
      <c r="AA111" s="430"/>
      <c r="AB111" s="423" t="s">
        <v>110</v>
      </c>
      <c r="AC111" s="424" t="s">
        <v>512</v>
      </c>
      <c r="AD111" s="425">
        <v>46418</v>
      </c>
      <c r="AE111" s="422" t="s">
        <v>869</v>
      </c>
      <c r="AF111" s="381" t="s">
        <v>919</v>
      </c>
      <c r="AG111" s="381" t="s">
        <v>236</v>
      </c>
      <c r="AH111" s="364"/>
      <c r="AI111" s="382"/>
      <c r="AJ111" s="364" t="s">
        <v>909</v>
      </c>
      <c r="AK111" s="381" t="s">
        <v>920</v>
      </c>
      <c r="AL111" s="427"/>
      <c r="AM111" s="428"/>
    </row>
    <row r="112" s="67" customFormat="1" ht="67" hidden="1" customHeight="1" spans="1:39">
      <c r="A112" s="363"/>
      <c r="B112" s="364" t="s">
        <v>98</v>
      </c>
      <c r="C112" s="117"/>
      <c r="D112" s="61"/>
      <c r="E112" s="365" t="s">
        <v>7</v>
      </c>
      <c r="F112" s="61" t="s">
        <v>921</v>
      </c>
      <c r="G112" s="61" t="s">
        <v>922</v>
      </c>
      <c r="H112" s="366" t="s">
        <v>923</v>
      </c>
      <c r="I112" s="61" t="s">
        <v>924</v>
      </c>
      <c r="J112" s="61" t="s">
        <v>925</v>
      </c>
      <c r="K112" s="365" t="s">
        <v>926</v>
      </c>
      <c r="L112" s="365" t="s">
        <v>104</v>
      </c>
      <c r="M112" s="414" t="s">
        <v>824</v>
      </c>
      <c r="N112" s="390" t="s">
        <v>104</v>
      </c>
      <c r="O112" s="415" t="s">
        <v>106</v>
      </c>
      <c r="P112" s="367">
        <v>200000</v>
      </c>
      <c r="Q112" s="368"/>
      <c r="R112" s="380" t="s">
        <v>107</v>
      </c>
      <c r="S112" s="369" t="s">
        <v>916</v>
      </c>
      <c r="T112" s="370" t="s">
        <v>927</v>
      </c>
      <c r="U112" s="371" t="s">
        <v>928</v>
      </c>
      <c r="V112" s="400"/>
      <c r="W112" s="400"/>
      <c r="X112" s="439"/>
      <c r="Y112" s="439"/>
      <c r="Z112" s="434"/>
      <c r="AA112" s="430"/>
      <c r="AB112" s="423" t="s">
        <v>110</v>
      </c>
      <c r="AC112" s="424" t="s">
        <v>668</v>
      </c>
      <c r="AD112" s="425">
        <v>46203</v>
      </c>
      <c r="AE112" s="422" t="s">
        <v>869</v>
      </c>
      <c r="AF112" s="381"/>
      <c r="AG112" s="381" t="s">
        <v>236</v>
      </c>
      <c r="AH112" s="364"/>
      <c r="AI112" s="382"/>
      <c r="AJ112" s="364" t="s">
        <v>909</v>
      </c>
      <c r="AK112" s="381" t="s">
        <v>929</v>
      </c>
      <c r="AL112" s="427"/>
      <c r="AM112" s="428"/>
    </row>
    <row r="113" s="67" customFormat="1" ht="40" hidden="1" customHeight="1" spans="1:39">
      <c r="A113" s="363"/>
      <c r="B113" s="364" t="s">
        <v>98</v>
      </c>
      <c r="C113" s="117"/>
      <c r="D113" s="61"/>
      <c r="E113" s="365" t="s">
        <v>7</v>
      </c>
      <c r="F113" s="61" t="s">
        <v>930</v>
      </c>
      <c r="G113" s="61" t="s">
        <v>931</v>
      </c>
      <c r="H113" s="366" t="s">
        <v>932</v>
      </c>
      <c r="I113" s="61" t="s">
        <v>933</v>
      </c>
      <c r="J113" s="61" t="s">
        <v>933</v>
      </c>
      <c r="K113" s="365" t="s">
        <v>134</v>
      </c>
      <c r="L113" s="365" t="s">
        <v>134</v>
      </c>
      <c r="M113" s="414" t="s">
        <v>824</v>
      </c>
      <c r="N113" s="390" t="s">
        <v>104</v>
      </c>
      <c r="O113" s="415" t="s">
        <v>106</v>
      </c>
      <c r="P113" s="367">
        <v>654444</v>
      </c>
      <c r="Q113" s="368"/>
      <c r="R113" s="380" t="s">
        <v>107</v>
      </c>
      <c r="S113" s="369" t="s">
        <v>794</v>
      </c>
      <c r="T113" s="370" t="s">
        <v>934</v>
      </c>
      <c r="U113" s="371" t="s">
        <v>935</v>
      </c>
      <c r="V113" s="400"/>
      <c r="W113" s="400"/>
      <c r="X113" s="439"/>
      <c r="Y113" s="439"/>
      <c r="Z113" s="434"/>
      <c r="AA113" s="430"/>
      <c r="AB113" s="423" t="s">
        <v>110</v>
      </c>
      <c r="AC113" s="424" t="s">
        <v>512</v>
      </c>
      <c r="AD113" s="425">
        <v>46203</v>
      </c>
      <c r="AE113" s="422" t="s">
        <v>869</v>
      </c>
      <c r="AF113" s="381" t="s">
        <v>936</v>
      </c>
      <c r="AG113" s="381" t="s">
        <v>112</v>
      </c>
      <c r="AH113" s="364" t="s">
        <v>937</v>
      </c>
      <c r="AI113" s="382"/>
      <c r="AJ113" s="364" t="s">
        <v>938</v>
      </c>
      <c r="AK113" s="381" t="s">
        <v>939</v>
      </c>
      <c r="AL113" s="427"/>
      <c r="AM113" s="428"/>
    </row>
    <row r="114" s="67" customFormat="1" ht="40" hidden="1" customHeight="1" spans="1:39">
      <c r="A114" s="363"/>
      <c r="B114" s="364" t="s">
        <v>98</v>
      </c>
      <c r="C114" s="117"/>
      <c r="D114" s="61"/>
      <c r="E114" s="365" t="s">
        <v>43</v>
      </c>
      <c r="F114" s="61"/>
      <c r="G114" s="61" t="s">
        <v>940</v>
      </c>
      <c r="H114" s="366" t="s">
        <v>941</v>
      </c>
      <c r="I114" s="61" t="s">
        <v>942</v>
      </c>
      <c r="J114" s="61" t="s">
        <v>942</v>
      </c>
      <c r="K114" s="365" t="s">
        <v>704</v>
      </c>
      <c r="L114" s="365" t="s">
        <v>104</v>
      </c>
      <c r="M114" s="414" t="s">
        <v>943</v>
      </c>
      <c r="N114" s="390" t="s">
        <v>104</v>
      </c>
      <c r="O114" s="415" t="s">
        <v>106</v>
      </c>
      <c r="P114" s="367">
        <v>215000</v>
      </c>
      <c r="Q114" s="368"/>
      <c r="R114" s="380" t="s">
        <v>107</v>
      </c>
      <c r="S114" s="369" t="s">
        <v>603</v>
      </c>
      <c r="T114" s="370" t="s">
        <v>944</v>
      </c>
      <c r="U114" s="371" t="s">
        <v>945</v>
      </c>
      <c r="V114" s="400">
        <v>64500</v>
      </c>
      <c r="W114" s="400" t="s">
        <v>125</v>
      </c>
      <c r="X114" s="420"/>
      <c r="Y114" s="420"/>
      <c r="Z114" s="421"/>
      <c r="AA114" s="366">
        <v>202603</v>
      </c>
      <c r="AB114" s="423" t="s">
        <v>110</v>
      </c>
      <c r="AC114" s="424" t="s">
        <v>512</v>
      </c>
      <c r="AD114" s="425" t="s">
        <v>946</v>
      </c>
      <c r="AE114" s="422"/>
      <c r="AF114" s="381" t="s">
        <v>947</v>
      </c>
      <c r="AG114" s="381" t="s">
        <v>112</v>
      </c>
      <c r="AH114" s="364" t="s">
        <v>948</v>
      </c>
      <c r="AI114" s="382">
        <v>64500</v>
      </c>
      <c r="AJ114" s="364" t="s">
        <v>948</v>
      </c>
      <c r="AK114" s="381" t="s">
        <v>949</v>
      </c>
      <c r="AL114" s="387" t="s">
        <v>950</v>
      </c>
      <c r="AM114" s="442" t="s">
        <v>951</v>
      </c>
    </row>
    <row r="115" ht="40" hidden="1" customHeight="1" spans="1:39">
      <c r="A115" s="142"/>
      <c r="B115" s="208" t="s">
        <v>117</v>
      </c>
      <c r="C115" s="117"/>
      <c r="D115" s="61"/>
      <c r="E115" s="61" t="s">
        <v>43</v>
      </c>
      <c r="F115" s="61"/>
      <c r="G115" s="61" t="s">
        <v>952</v>
      </c>
      <c r="H115" s="64" t="s">
        <v>953</v>
      </c>
      <c r="I115" s="61" t="s">
        <v>954</v>
      </c>
      <c r="J115" s="61" t="s">
        <v>955</v>
      </c>
      <c r="K115" s="61" t="s">
        <v>723</v>
      </c>
      <c r="L115" s="61" t="s">
        <v>104</v>
      </c>
      <c r="M115" s="405"/>
      <c r="N115" s="143"/>
      <c r="O115" s="143"/>
      <c r="P115" s="127">
        <v>0</v>
      </c>
      <c r="Q115" s="120"/>
      <c r="R115" s="128" t="s">
        <v>107</v>
      </c>
      <c r="S115" s="117" t="s">
        <v>536</v>
      </c>
      <c r="T115" s="129" t="s">
        <v>956</v>
      </c>
      <c r="U115" s="332"/>
      <c r="V115" s="146"/>
      <c r="W115" s="147"/>
      <c r="X115" s="147"/>
      <c r="Y115" s="411"/>
      <c r="Z115" s="148"/>
      <c r="AA115" s="262" t="s">
        <v>137</v>
      </c>
      <c r="AB115" s="127"/>
      <c r="AC115" s="117"/>
      <c r="AD115" s="121"/>
      <c r="AE115" s="128"/>
      <c r="AF115" s="130"/>
      <c r="AG115" s="130"/>
      <c r="AH115" s="130"/>
      <c r="AI115" s="116"/>
      <c r="AJ115" s="116"/>
      <c r="AK115" s="130" t="s">
        <v>957</v>
      </c>
      <c r="AL115" s="412"/>
      <c r="AM115" s="409"/>
    </row>
    <row r="116" s="67" customFormat="1" ht="40" hidden="1" customHeight="1" spans="1:39">
      <c r="A116" s="363"/>
      <c r="B116" s="364" t="s">
        <v>98</v>
      </c>
      <c r="C116" s="117"/>
      <c r="D116" s="61"/>
      <c r="E116" s="365" t="s">
        <v>43</v>
      </c>
      <c r="F116" s="61"/>
      <c r="G116" s="61" t="s">
        <v>958</v>
      </c>
      <c r="H116" s="366" t="s">
        <v>959</v>
      </c>
      <c r="I116" s="61" t="s">
        <v>960</v>
      </c>
      <c r="J116" s="61" t="s">
        <v>960</v>
      </c>
      <c r="K116" s="365" t="s">
        <v>746</v>
      </c>
      <c r="L116" s="365" t="s">
        <v>104</v>
      </c>
      <c r="M116" s="414" t="s">
        <v>724</v>
      </c>
      <c r="N116" s="390" t="s">
        <v>104</v>
      </c>
      <c r="O116" s="415" t="s">
        <v>106</v>
      </c>
      <c r="P116" s="367">
        <v>2668000</v>
      </c>
      <c r="Q116" s="368"/>
      <c r="R116" s="380" t="s">
        <v>107</v>
      </c>
      <c r="S116" s="369" t="s">
        <v>536</v>
      </c>
      <c r="T116" s="370" t="s">
        <v>961</v>
      </c>
      <c r="U116" s="371" t="s">
        <v>962</v>
      </c>
      <c r="V116" s="400"/>
      <c r="W116" s="400"/>
      <c r="X116" s="439"/>
      <c r="Y116" s="439"/>
      <c r="Z116" s="434"/>
      <c r="AA116" s="366">
        <v>202612</v>
      </c>
      <c r="AB116" s="423" t="s">
        <v>110</v>
      </c>
      <c r="AC116" s="424" t="s">
        <v>963</v>
      </c>
      <c r="AD116" s="425" t="s">
        <v>964</v>
      </c>
      <c r="AE116" s="422"/>
      <c r="AF116" s="381" t="s">
        <v>947</v>
      </c>
      <c r="AG116" s="381" t="s">
        <v>236</v>
      </c>
      <c r="AH116" s="364"/>
      <c r="AI116" s="382"/>
      <c r="AJ116" s="364"/>
      <c r="AK116" s="381" t="s">
        <v>965</v>
      </c>
      <c r="AL116" s="387" t="s">
        <v>966</v>
      </c>
      <c r="AM116" s="442" t="s">
        <v>967</v>
      </c>
    </row>
    <row r="117" ht="40" hidden="1" customHeight="1" spans="1:39">
      <c r="A117" s="142"/>
      <c r="B117" s="116" t="s">
        <v>117</v>
      </c>
      <c r="C117" s="117"/>
      <c r="D117" s="61"/>
      <c r="E117" s="61" t="s">
        <v>43</v>
      </c>
      <c r="F117" s="61"/>
      <c r="G117" s="61" t="s">
        <v>968</v>
      </c>
      <c r="H117" s="64" t="s">
        <v>969</v>
      </c>
      <c r="I117" s="61" t="s">
        <v>970</v>
      </c>
      <c r="J117" s="61" t="s">
        <v>955</v>
      </c>
      <c r="K117" s="61" t="s">
        <v>971</v>
      </c>
      <c r="L117" s="61" t="s">
        <v>104</v>
      </c>
      <c r="M117" s="405" t="s">
        <v>972</v>
      </c>
      <c r="N117" s="143"/>
      <c r="O117" s="143"/>
      <c r="P117" s="127">
        <v>928800</v>
      </c>
      <c r="Q117" s="120"/>
      <c r="R117" s="128" t="s">
        <v>107</v>
      </c>
      <c r="S117" s="117" t="s">
        <v>603</v>
      </c>
      <c r="T117" s="129" t="s">
        <v>973</v>
      </c>
      <c r="U117" s="332" t="s">
        <v>974</v>
      </c>
      <c r="V117" s="447">
        <v>928800</v>
      </c>
      <c r="W117" s="147"/>
      <c r="X117" s="147"/>
      <c r="Y117" s="411"/>
      <c r="Z117" s="148"/>
      <c r="AA117" s="182"/>
      <c r="AB117" s="149" t="s">
        <v>127</v>
      </c>
      <c r="AC117" s="150"/>
      <c r="AD117" s="448"/>
      <c r="AE117" s="151"/>
      <c r="AF117" s="130" t="s">
        <v>975</v>
      </c>
      <c r="AG117" s="130" t="s">
        <v>236</v>
      </c>
      <c r="AH117" s="130"/>
      <c r="AI117" s="130"/>
      <c r="AJ117" s="130"/>
      <c r="AK117" s="130" t="s">
        <v>971</v>
      </c>
      <c r="AL117" s="153" t="s">
        <v>566</v>
      </c>
      <c r="AM117" s="188" t="s">
        <v>976</v>
      </c>
    </row>
    <row r="118" ht="40" hidden="1" customHeight="1" spans="1:39">
      <c r="A118" s="142"/>
      <c r="B118" s="116" t="s">
        <v>117</v>
      </c>
      <c r="C118" s="117"/>
      <c r="D118" s="61"/>
      <c r="E118" s="61" t="s">
        <v>43</v>
      </c>
      <c r="F118" s="61"/>
      <c r="G118" s="61" t="s">
        <v>968</v>
      </c>
      <c r="H118" s="64" t="s">
        <v>977</v>
      </c>
      <c r="I118" s="61" t="s">
        <v>970</v>
      </c>
      <c r="J118" s="61" t="s">
        <v>955</v>
      </c>
      <c r="K118" s="61" t="s">
        <v>971</v>
      </c>
      <c r="L118" s="61" t="s">
        <v>104</v>
      </c>
      <c r="M118" s="405" t="s">
        <v>972</v>
      </c>
      <c r="N118" s="143"/>
      <c r="O118" s="143"/>
      <c r="P118" s="127">
        <v>1846800</v>
      </c>
      <c r="Q118" s="120"/>
      <c r="R118" s="128" t="s">
        <v>107</v>
      </c>
      <c r="S118" s="117" t="s">
        <v>603</v>
      </c>
      <c r="T118" s="129" t="s">
        <v>978</v>
      </c>
      <c r="U118" s="332" t="s">
        <v>974</v>
      </c>
      <c r="V118" s="447">
        <v>1846800</v>
      </c>
      <c r="W118" s="147"/>
      <c r="X118" s="147"/>
      <c r="Y118" s="411"/>
      <c r="Z118" s="148"/>
      <c r="AA118" s="182"/>
      <c r="AB118" s="149" t="s">
        <v>127</v>
      </c>
      <c r="AC118" s="150"/>
      <c r="AD118" s="448"/>
      <c r="AE118" s="151"/>
      <c r="AF118" s="130" t="s">
        <v>975</v>
      </c>
      <c r="AG118" s="130" t="s">
        <v>236</v>
      </c>
      <c r="AH118" s="130"/>
      <c r="AI118" s="130"/>
      <c r="AJ118" s="130"/>
      <c r="AK118" s="130" t="s">
        <v>971</v>
      </c>
      <c r="AL118" s="153" t="s">
        <v>566</v>
      </c>
      <c r="AM118" s="188" t="s">
        <v>976</v>
      </c>
    </row>
    <row r="119" s="67" customFormat="1" ht="40" hidden="1" customHeight="1" spans="1:39">
      <c r="A119" s="363"/>
      <c r="B119" s="364" t="s">
        <v>98</v>
      </c>
      <c r="C119" s="117"/>
      <c r="D119" s="61"/>
      <c r="E119" s="365" t="s">
        <v>43</v>
      </c>
      <c r="F119" s="61"/>
      <c r="G119" s="61" t="s">
        <v>979</v>
      </c>
      <c r="H119" s="366" t="s">
        <v>980</v>
      </c>
      <c r="I119" s="61" t="s">
        <v>981</v>
      </c>
      <c r="J119" s="61" t="s">
        <v>981</v>
      </c>
      <c r="K119" s="365" t="s">
        <v>134</v>
      </c>
      <c r="L119" s="365" t="s">
        <v>134</v>
      </c>
      <c r="M119" s="414" t="s">
        <v>724</v>
      </c>
      <c r="N119" s="390" t="s">
        <v>104</v>
      </c>
      <c r="O119" s="415" t="s">
        <v>106</v>
      </c>
      <c r="P119" s="367">
        <v>2635584</v>
      </c>
      <c r="Q119" s="368"/>
      <c r="R119" s="380" t="s">
        <v>107</v>
      </c>
      <c r="S119" s="369" t="s">
        <v>603</v>
      </c>
      <c r="T119" s="370" t="s">
        <v>982</v>
      </c>
      <c r="U119" s="371" t="s">
        <v>802</v>
      </c>
      <c r="V119" s="400"/>
      <c r="W119" s="400"/>
      <c r="X119" s="439"/>
      <c r="Y119" s="449"/>
      <c r="Z119" s="434"/>
      <c r="AA119" s="366">
        <v>202606</v>
      </c>
      <c r="AB119" s="423" t="s">
        <v>110</v>
      </c>
      <c r="AC119" s="424" t="s">
        <v>983</v>
      </c>
      <c r="AD119" s="425" t="s">
        <v>984</v>
      </c>
      <c r="AE119" s="422"/>
      <c r="AF119" s="381" t="s">
        <v>947</v>
      </c>
      <c r="AG119" s="381" t="s">
        <v>236</v>
      </c>
      <c r="AH119" s="364"/>
      <c r="AI119" s="382"/>
      <c r="AJ119" s="364"/>
      <c r="AK119" s="381" t="s">
        <v>985</v>
      </c>
      <c r="AL119" s="387" t="s">
        <v>986</v>
      </c>
      <c r="AM119" s="442" t="s">
        <v>987</v>
      </c>
    </row>
    <row r="120" s="67" customFormat="1" ht="84" hidden="1" customHeight="1" spans="1:39">
      <c r="A120" s="363"/>
      <c r="B120" s="364" t="s">
        <v>98</v>
      </c>
      <c r="C120" s="117">
        <v>46121</v>
      </c>
      <c r="D120" s="61"/>
      <c r="E120" s="365" t="s">
        <v>43</v>
      </c>
      <c r="F120" s="61"/>
      <c r="G120" s="61" t="s">
        <v>988</v>
      </c>
      <c r="H120" s="366" t="s">
        <v>989</v>
      </c>
      <c r="I120" s="61" t="s">
        <v>990</v>
      </c>
      <c r="J120" s="61" t="s">
        <v>991</v>
      </c>
      <c r="K120" s="365" t="s">
        <v>723</v>
      </c>
      <c r="L120" s="365" t="s">
        <v>104</v>
      </c>
      <c r="M120" s="414" t="s">
        <v>724</v>
      </c>
      <c r="N120" s="390" t="s">
        <v>104</v>
      </c>
      <c r="O120" s="415" t="s">
        <v>106</v>
      </c>
      <c r="P120" s="367">
        <v>286200</v>
      </c>
      <c r="Q120" s="368"/>
      <c r="R120" s="380" t="s">
        <v>107</v>
      </c>
      <c r="S120" s="369" t="s">
        <v>857</v>
      </c>
      <c r="T120" s="370" t="s">
        <v>992</v>
      </c>
      <c r="U120" s="371" t="s">
        <v>993</v>
      </c>
      <c r="V120" s="400"/>
      <c r="W120" s="400"/>
      <c r="X120" s="439"/>
      <c r="Y120" s="439"/>
      <c r="Z120" s="434"/>
      <c r="AA120" s="430">
        <v>202801</v>
      </c>
      <c r="AB120" s="423" t="s">
        <v>110</v>
      </c>
      <c r="AC120" s="424" t="s">
        <v>512</v>
      </c>
      <c r="AD120" s="425" t="s">
        <v>994</v>
      </c>
      <c r="AE120" s="422"/>
      <c r="AF120" s="381" t="s">
        <v>995</v>
      </c>
      <c r="AG120" s="381" t="s">
        <v>236</v>
      </c>
      <c r="AH120" s="364"/>
      <c r="AI120" s="382"/>
      <c r="AJ120" s="364"/>
      <c r="AK120" s="381" t="s">
        <v>996</v>
      </c>
      <c r="AL120" s="387" t="s">
        <v>986</v>
      </c>
      <c r="AM120" s="442" t="s">
        <v>997</v>
      </c>
    </row>
    <row r="121" ht="40" hidden="1" customHeight="1" spans="1:39">
      <c r="A121" s="142"/>
      <c r="B121" s="116" t="s">
        <v>117</v>
      </c>
      <c r="C121" s="117"/>
      <c r="D121" s="61"/>
      <c r="E121" s="61" t="s">
        <v>43</v>
      </c>
      <c r="F121" s="61"/>
      <c r="G121" s="61" t="s">
        <v>968</v>
      </c>
      <c r="H121" s="64" t="s">
        <v>998</v>
      </c>
      <c r="I121" s="61" t="s">
        <v>970</v>
      </c>
      <c r="J121" s="61" t="s">
        <v>955</v>
      </c>
      <c r="K121" s="61" t="s">
        <v>723</v>
      </c>
      <c r="L121" s="61" t="s">
        <v>104</v>
      </c>
      <c r="M121" s="118" t="s">
        <v>972</v>
      </c>
      <c r="N121" s="143"/>
      <c r="O121" s="143"/>
      <c r="P121" s="127">
        <v>354000</v>
      </c>
      <c r="Q121" s="120"/>
      <c r="R121" s="128" t="s">
        <v>107</v>
      </c>
      <c r="S121" s="117" t="s">
        <v>603</v>
      </c>
      <c r="T121" s="129" t="s">
        <v>999</v>
      </c>
      <c r="U121" s="332" t="s">
        <v>1000</v>
      </c>
      <c r="V121" s="447">
        <v>354000</v>
      </c>
      <c r="W121" s="147"/>
      <c r="X121" s="147"/>
      <c r="Y121" s="411"/>
      <c r="Z121" s="148"/>
      <c r="AA121" s="182"/>
      <c r="AB121" s="149" t="s">
        <v>127</v>
      </c>
      <c r="AC121" s="150"/>
      <c r="AD121" s="448"/>
      <c r="AE121" s="151"/>
      <c r="AF121" s="130" t="s">
        <v>975</v>
      </c>
      <c r="AG121" s="130" t="s">
        <v>236</v>
      </c>
      <c r="AH121" s="130"/>
      <c r="AI121" s="130"/>
      <c r="AJ121" s="130"/>
      <c r="AK121" s="130" t="s">
        <v>1001</v>
      </c>
      <c r="AL121" s="153" t="s">
        <v>566</v>
      </c>
      <c r="AM121" s="188" t="s">
        <v>976</v>
      </c>
    </row>
    <row r="122" ht="40" hidden="1" customHeight="1" spans="1:39">
      <c r="A122" s="142"/>
      <c r="B122" s="208" t="s">
        <v>117</v>
      </c>
      <c r="C122" s="117"/>
      <c r="D122" s="61"/>
      <c r="E122" s="61" t="s">
        <v>43</v>
      </c>
      <c r="F122" s="61"/>
      <c r="G122" s="61" t="s">
        <v>968</v>
      </c>
      <c r="H122" s="64" t="s">
        <v>1002</v>
      </c>
      <c r="I122" s="61" t="s">
        <v>970</v>
      </c>
      <c r="J122" s="61" t="s">
        <v>955</v>
      </c>
      <c r="K122" s="61" t="s">
        <v>971</v>
      </c>
      <c r="L122" s="61" t="s">
        <v>104</v>
      </c>
      <c r="M122" s="405"/>
      <c r="N122" s="143"/>
      <c r="O122" s="143"/>
      <c r="P122" s="127">
        <v>0</v>
      </c>
      <c r="Q122" s="120"/>
      <c r="R122" s="128" t="s">
        <v>107</v>
      </c>
      <c r="S122" s="117" t="s">
        <v>775</v>
      </c>
      <c r="T122" s="129" t="s">
        <v>1003</v>
      </c>
      <c r="U122" s="332"/>
      <c r="V122" s="146"/>
      <c r="W122" s="147"/>
      <c r="X122" s="147"/>
      <c r="Y122" s="411"/>
      <c r="Z122" s="148"/>
      <c r="AA122" s="262" t="s">
        <v>137</v>
      </c>
      <c r="AB122" s="127"/>
      <c r="AC122" s="117"/>
      <c r="AD122" s="121"/>
      <c r="AE122" s="128"/>
      <c r="AF122" s="130"/>
      <c r="AG122" s="130"/>
      <c r="AH122" s="130"/>
      <c r="AI122" s="116"/>
      <c r="AJ122" s="116"/>
      <c r="AK122" s="130" t="s">
        <v>1001</v>
      </c>
      <c r="AL122" s="412"/>
      <c r="AM122" s="409"/>
    </row>
    <row r="123" ht="40" hidden="1" customHeight="1" spans="1:39">
      <c r="A123" s="142"/>
      <c r="B123" s="116" t="s">
        <v>117</v>
      </c>
      <c r="C123" s="117"/>
      <c r="D123" s="61"/>
      <c r="E123" s="61" t="s">
        <v>43</v>
      </c>
      <c r="F123" s="61"/>
      <c r="G123" s="61" t="s">
        <v>952</v>
      </c>
      <c r="H123" s="64" t="s">
        <v>1004</v>
      </c>
      <c r="I123" s="61" t="s">
        <v>1005</v>
      </c>
      <c r="J123" s="61" t="s">
        <v>955</v>
      </c>
      <c r="K123" s="61" t="s">
        <v>723</v>
      </c>
      <c r="L123" s="61" t="s">
        <v>104</v>
      </c>
      <c r="M123" s="118" t="s">
        <v>972</v>
      </c>
      <c r="N123" s="143"/>
      <c r="O123" s="143"/>
      <c r="P123" s="127">
        <v>220378.24</v>
      </c>
      <c r="Q123" s="120"/>
      <c r="R123" s="128" t="s">
        <v>107</v>
      </c>
      <c r="S123" s="117" t="s">
        <v>794</v>
      </c>
      <c r="T123" s="129" t="s">
        <v>1006</v>
      </c>
      <c r="U123" s="332" t="s">
        <v>159</v>
      </c>
      <c r="V123" s="447">
        <v>220378</v>
      </c>
      <c r="W123" s="147"/>
      <c r="X123" s="147"/>
      <c r="Y123" s="411"/>
      <c r="Z123" s="148"/>
      <c r="AA123" s="182"/>
      <c r="AB123" s="149" t="s">
        <v>127</v>
      </c>
      <c r="AC123" s="150" t="s">
        <v>1007</v>
      </c>
      <c r="AD123" s="448" t="s">
        <v>1007</v>
      </c>
      <c r="AE123" s="151"/>
      <c r="AF123" s="130" t="s">
        <v>1008</v>
      </c>
      <c r="AG123" s="130" t="s">
        <v>236</v>
      </c>
      <c r="AH123" s="130"/>
      <c r="AI123" s="130"/>
      <c r="AJ123" s="130"/>
      <c r="AK123" s="130" t="s">
        <v>1009</v>
      </c>
      <c r="AL123" s="153" t="s">
        <v>566</v>
      </c>
      <c r="AM123" s="188" t="s">
        <v>976</v>
      </c>
    </row>
    <row r="124" s="67" customFormat="1" ht="65" hidden="1" customHeight="1" spans="1:39">
      <c r="A124" s="363"/>
      <c r="B124" s="364" t="s">
        <v>98</v>
      </c>
      <c r="C124" s="117"/>
      <c r="D124" s="61"/>
      <c r="E124" s="365" t="s">
        <v>52</v>
      </c>
      <c r="F124" s="61"/>
      <c r="G124" s="61" t="s">
        <v>1010</v>
      </c>
      <c r="H124" s="366" t="s">
        <v>1011</v>
      </c>
      <c r="I124" s="61" t="s">
        <v>1012</v>
      </c>
      <c r="J124" s="61" t="s">
        <v>1013</v>
      </c>
      <c r="K124" s="365" t="s">
        <v>1014</v>
      </c>
      <c r="L124" s="365" t="s">
        <v>134</v>
      </c>
      <c r="M124" s="443" t="s">
        <v>1015</v>
      </c>
      <c r="N124" s="390" t="s">
        <v>104</v>
      </c>
      <c r="O124" s="415" t="s">
        <v>106</v>
      </c>
      <c r="P124" s="367">
        <v>185004.18</v>
      </c>
      <c r="Q124" s="368"/>
      <c r="R124" s="380" t="s">
        <v>107</v>
      </c>
      <c r="S124" s="369" t="s">
        <v>916</v>
      </c>
      <c r="T124" s="370" t="s">
        <v>1016</v>
      </c>
      <c r="U124" s="371" t="s">
        <v>1017</v>
      </c>
      <c r="V124" s="400"/>
      <c r="W124" s="400"/>
      <c r="X124" s="439"/>
      <c r="Y124" s="439"/>
      <c r="Z124" s="434"/>
      <c r="AA124" s="366">
        <v>202602</v>
      </c>
      <c r="AB124" s="423" t="s">
        <v>127</v>
      </c>
      <c r="AC124" s="424"/>
      <c r="AD124" s="424"/>
      <c r="AE124" s="422"/>
      <c r="AF124" s="381" t="s">
        <v>1018</v>
      </c>
      <c r="AG124" s="381" t="s">
        <v>112</v>
      </c>
      <c r="AH124" s="364" t="s">
        <v>1019</v>
      </c>
      <c r="AI124" s="382">
        <v>0</v>
      </c>
      <c r="AJ124" s="364" t="s">
        <v>1020</v>
      </c>
      <c r="AK124" s="381" t="s">
        <v>1021</v>
      </c>
      <c r="AL124" s="427"/>
      <c r="AM124" s="428"/>
    </row>
    <row r="125" s="67" customFormat="1" ht="48" hidden="1" customHeight="1" spans="1:39">
      <c r="A125" s="363"/>
      <c r="B125" s="364" t="s">
        <v>117</v>
      </c>
      <c r="C125" s="117"/>
      <c r="D125" s="61"/>
      <c r="E125" s="365" t="s">
        <v>52</v>
      </c>
      <c r="F125" s="61"/>
      <c r="G125" s="61" t="s">
        <v>1010</v>
      </c>
      <c r="H125" s="366" t="s">
        <v>1022</v>
      </c>
      <c r="I125" s="61" t="s">
        <v>1012</v>
      </c>
      <c r="J125" s="61" t="s">
        <v>1013</v>
      </c>
      <c r="K125" s="365" t="s">
        <v>1014</v>
      </c>
      <c r="L125" s="365" t="s">
        <v>134</v>
      </c>
      <c r="M125" s="414"/>
      <c r="N125" s="390" t="s">
        <v>104</v>
      </c>
      <c r="O125" s="390" t="s">
        <v>137</v>
      </c>
      <c r="P125" s="367">
        <v>0</v>
      </c>
      <c r="Q125" s="368"/>
      <c r="R125" s="380" t="s">
        <v>107</v>
      </c>
      <c r="S125" s="369" t="s">
        <v>916</v>
      </c>
      <c r="T125" s="370" t="s">
        <v>1023</v>
      </c>
      <c r="U125" s="371"/>
      <c r="V125" s="400"/>
      <c r="W125" s="400"/>
      <c r="X125" s="439"/>
      <c r="Y125" s="439"/>
      <c r="Z125" s="434"/>
      <c r="AA125" s="366" t="s">
        <v>137</v>
      </c>
      <c r="AB125" s="423"/>
      <c r="AC125" s="424"/>
      <c r="AD125" s="424"/>
      <c r="AE125" s="422"/>
      <c r="AF125" s="381" t="s">
        <v>1024</v>
      </c>
      <c r="AG125" s="381"/>
      <c r="AH125" s="364"/>
      <c r="AI125" s="382"/>
      <c r="AJ125" s="364"/>
      <c r="AK125" s="381" t="s">
        <v>1021</v>
      </c>
      <c r="AL125" s="427"/>
      <c r="AM125" s="428"/>
    </row>
    <row r="126" s="67" customFormat="1" ht="40" hidden="1" customHeight="1" spans="1:39">
      <c r="A126" s="450"/>
      <c r="B126" s="451" t="s">
        <v>1025</v>
      </c>
      <c r="C126" s="317"/>
      <c r="D126" s="249"/>
      <c r="E126" s="452" t="s">
        <v>43</v>
      </c>
      <c r="F126" s="249"/>
      <c r="G126" s="249" t="s">
        <v>1026</v>
      </c>
      <c r="H126" s="453" t="s">
        <v>1027</v>
      </c>
      <c r="I126" s="249"/>
      <c r="J126" s="249"/>
      <c r="K126" s="452" t="s">
        <v>1014</v>
      </c>
      <c r="L126" s="452" t="s">
        <v>104</v>
      </c>
      <c r="M126" s="454" t="s">
        <v>1028</v>
      </c>
      <c r="N126" s="415"/>
      <c r="O126" s="415"/>
      <c r="P126" s="455">
        <v>599960</v>
      </c>
      <c r="Q126" s="456"/>
      <c r="R126" s="457" t="s">
        <v>1029</v>
      </c>
      <c r="S126" s="458"/>
      <c r="T126" s="459"/>
      <c r="U126" s="460"/>
      <c r="V126" s="461"/>
      <c r="W126" s="461"/>
      <c r="X126" s="462"/>
      <c r="Y126" s="463"/>
      <c r="Z126" s="464"/>
      <c r="AA126" s="465"/>
      <c r="AB126" s="455"/>
      <c r="AC126" s="458"/>
      <c r="AD126" s="466"/>
      <c r="AE126" s="457"/>
      <c r="AF126" s="467"/>
      <c r="AG126" s="467" t="s">
        <v>236</v>
      </c>
      <c r="AH126" s="467"/>
      <c r="AI126" s="468"/>
      <c r="AJ126" s="469"/>
      <c r="AK126" s="467"/>
      <c r="AL126" s="470"/>
      <c r="AM126" s="471"/>
    </row>
    <row r="127" s="67" customFormat="1" ht="69" hidden="1" customHeight="1" spans="1:39">
      <c r="A127" s="472"/>
      <c r="B127" s="473" t="s">
        <v>98</v>
      </c>
      <c r="C127" s="328"/>
      <c r="D127" s="328"/>
      <c r="E127" s="473" t="s">
        <v>43</v>
      </c>
      <c r="F127" s="328"/>
      <c r="G127" s="328" t="s">
        <v>1030</v>
      </c>
      <c r="H127" s="471" t="s">
        <v>1031</v>
      </c>
      <c r="I127" s="328"/>
      <c r="J127" s="328"/>
      <c r="K127" s="474" t="s">
        <v>1032</v>
      </c>
      <c r="L127" s="472" t="s">
        <v>104</v>
      </c>
      <c r="M127" s="475" t="s">
        <v>1033</v>
      </c>
      <c r="N127" s="390" t="s">
        <v>104</v>
      </c>
      <c r="O127" s="415" t="s">
        <v>106</v>
      </c>
      <c r="P127" s="476">
        <v>2157115.72</v>
      </c>
      <c r="Q127" s="477"/>
      <c r="R127" s="473" t="s">
        <v>107</v>
      </c>
      <c r="S127" s="478">
        <v>46107</v>
      </c>
      <c r="T127" s="479" t="s">
        <v>1034</v>
      </c>
      <c r="U127" s="480" t="s">
        <v>1035</v>
      </c>
      <c r="V127" s="481"/>
      <c r="W127" s="481"/>
      <c r="X127" s="482"/>
      <c r="Y127" s="482"/>
      <c r="Z127" s="483"/>
      <c r="AA127" s="473"/>
      <c r="AB127" s="366" t="s">
        <v>1036</v>
      </c>
      <c r="AC127" s="366" t="s">
        <v>512</v>
      </c>
      <c r="AD127" s="424">
        <v>46387</v>
      </c>
      <c r="AE127" s="473"/>
      <c r="AF127" s="366" t="s">
        <v>1037</v>
      </c>
      <c r="AG127" s="473" t="s">
        <v>236</v>
      </c>
      <c r="AH127" s="473"/>
      <c r="AI127" s="484"/>
      <c r="AJ127" s="473"/>
      <c r="AK127" s="381" t="s">
        <v>1038</v>
      </c>
      <c r="AL127" s="485"/>
      <c r="AM127" s="472"/>
    </row>
    <row r="128" s="67" customFormat="1" ht="80" hidden="1" customHeight="1" spans="1:39">
      <c r="A128" s="450"/>
      <c r="B128" s="451" t="s">
        <v>1025</v>
      </c>
      <c r="C128" s="317" t="s">
        <v>1039</v>
      </c>
      <c r="D128" s="249"/>
      <c r="E128" s="452" t="s">
        <v>7</v>
      </c>
      <c r="F128" s="249"/>
      <c r="G128" s="249" t="s">
        <v>1040</v>
      </c>
      <c r="H128" s="453" t="s">
        <v>1041</v>
      </c>
      <c r="I128" s="249" t="s">
        <v>924</v>
      </c>
      <c r="J128" s="249" t="s">
        <v>1042</v>
      </c>
      <c r="K128" s="452" t="s">
        <v>1043</v>
      </c>
      <c r="L128" s="452" t="s">
        <v>104</v>
      </c>
      <c r="M128" s="454"/>
      <c r="N128" s="390" t="s">
        <v>104</v>
      </c>
      <c r="O128" s="415"/>
      <c r="P128" s="486">
        <v>270000</v>
      </c>
      <c r="Q128" s="456"/>
      <c r="R128" s="457" t="s">
        <v>1044</v>
      </c>
      <c r="S128" s="458"/>
      <c r="T128" s="459"/>
      <c r="U128" s="487"/>
      <c r="V128" s="488"/>
      <c r="W128" s="488"/>
      <c r="X128" s="489"/>
      <c r="Y128" s="489"/>
      <c r="Z128" s="490"/>
      <c r="AA128" s="465" t="s">
        <v>137</v>
      </c>
      <c r="AB128" s="455"/>
      <c r="AC128" s="458"/>
      <c r="AD128" s="466"/>
      <c r="AE128" s="457"/>
      <c r="AF128" s="467"/>
      <c r="AG128" s="467"/>
      <c r="AH128" s="469"/>
      <c r="AI128" s="468"/>
      <c r="AJ128" s="469"/>
      <c r="AK128" s="467" t="s">
        <v>1045</v>
      </c>
      <c r="AL128" s="470"/>
      <c r="AM128" s="471"/>
    </row>
    <row r="129" s="67" customFormat="1" ht="40" hidden="1" customHeight="1" spans="1:39">
      <c r="A129" s="363"/>
      <c r="B129" s="364" t="s">
        <v>1025</v>
      </c>
      <c r="C129" s="117" t="s">
        <v>1039</v>
      </c>
      <c r="D129" s="61"/>
      <c r="E129" s="365" t="s">
        <v>47</v>
      </c>
      <c r="F129" s="61"/>
      <c r="G129" s="61" t="s">
        <v>1046</v>
      </c>
      <c r="H129" s="366" t="s">
        <v>1047</v>
      </c>
      <c r="I129" s="61"/>
      <c r="J129" s="61"/>
      <c r="K129" s="365" t="s">
        <v>1048</v>
      </c>
      <c r="L129" s="365" t="s">
        <v>104</v>
      </c>
      <c r="M129" s="414" t="s">
        <v>1049</v>
      </c>
      <c r="N129" s="390" t="s">
        <v>104</v>
      </c>
      <c r="O129" s="415" t="s">
        <v>106</v>
      </c>
      <c r="P129" s="367">
        <v>600000</v>
      </c>
      <c r="Q129" s="368"/>
      <c r="R129" s="380" t="s">
        <v>1044</v>
      </c>
      <c r="S129" s="369"/>
      <c r="T129" s="370"/>
      <c r="U129" s="491"/>
      <c r="V129" s="373"/>
      <c r="W129" s="373"/>
      <c r="X129" s="492"/>
      <c r="Y129" s="492"/>
      <c r="Z129" s="493"/>
      <c r="AA129" s="366"/>
      <c r="AB129" s="423" t="s">
        <v>110</v>
      </c>
      <c r="AC129" s="424"/>
      <c r="AD129" s="424"/>
      <c r="AE129" s="422"/>
      <c r="AF129" s="381" t="s">
        <v>1050</v>
      </c>
      <c r="AG129" s="381"/>
      <c r="AH129" s="364"/>
      <c r="AI129" s="382"/>
      <c r="AJ129" s="364"/>
      <c r="AK129" s="381" t="s">
        <v>1051</v>
      </c>
      <c r="AL129" s="427"/>
      <c r="AM129" s="494" t="s">
        <v>1052</v>
      </c>
    </row>
    <row r="130" s="67" customFormat="1" ht="40" hidden="1" customHeight="1" spans="1:39">
      <c r="A130" s="363"/>
      <c r="B130" s="364" t="s">
        <v>1025</v>
      </c>
      <c r="C130" s="117" t="s">
        <v>1039</v>
      </c>
      <c r="D130" s="61"/>
      <c r="E130" s="365" t="s">
        <v>47</v>
      </c>
      <c r="F130" s="61"/>
      <c r="G130" s="61" t="s">
        <v>1046</v>
      </c>
      <c r="H130" s="366" t="s">
        <v>1053</v>
      </c>
      <c r="I130" s="61"/>
      <c r="J130" s="61"/>
      <c r="K130" s="365" t="s">
        <v>1048</v>
      </c>
      <c r="L130" s="365" t="s">
        <v>104</v>
      </c>
      <c r="M130" s="414" t="s">
        <v>1054</v>
      </c>
      <c r="N130" s="390" t="s">
        <v>104</v>
      </c>
      <c r="O130" s="415" t="s">
        <v>106</v>
      </c>
      <c r="P130" s="367">
        <v>770000</v>
      </c>
      <c r="Q130" s="368"/>
      <c r="R130" s="380" t="s">
        <v>1044</v>
      </c>
      <c r="S130" s="369"/>
      <c r="T130" s="370"/>
      <c r="U130" s="371"/>
      <c r="V130" s="400"/>
      <c r="W130" s="400"/>
      <c r="X130" s="439"/>
      <c r="Y130" s="439"/>
      <c r="Z130" s="434"/>
      <c r="AA130" s="366"/>
      <c r="AB130" s="423" t="s">
        <v>110</v>
      </c>
      <c r="AC130" s="424"/>
      <c r="AD130" s="424"/>
      <c r="AE130" s="422"/>
      <c r="AF130" s="381" t="s">
        <v>1050</v>
      </c>
      <c r="AG130" s="381"/>
      <c r="AH130" s="364"/>
      <c r="AI130" s="382"/>
      <c r="AJ130" s="364"/>
      <c r="AK130" s="381" t="s">
        <v>1055</v>
      </c>
      <c r="AL130" s="427"/>
      <c r="AM130" s="494" t="s">
        <v>1052</v>
      </c>
    </row>
    <row r="131" s="67" customFormat="1" ht="40" hidden="1" customHeight="1" spans="1:39">
      <c r="A131" s="363"/>
      <c r="B131" s="364" t="s">
        <v>1025</v>
      </c>
      <c r="C131" s="117" t="s">
        <v>1039</v>
      </c>
      <c r="D131" s="61"/>
      <c r="E131" s="365" t="s">
        <v>47</v>
      </c>
      <c r="F131" s="61"/>
      <c r="G131" s="61" t="s">
        <v>1046</v>
      </c>
      <c r="H131" s="366" t="s">
        <v>1056</v>
      </c>
      <c r="I131" s="61"/>
      <c r="J131" s="61"/>
      <c r="K131" s="365" t="s">
        <v>1048</v>
      </c>
      <c r="L131" s="365" t="s">
        <v>104</v>
      </c>
      <c r="M131" s="414" t="s">
        <v>1057</v>
      </c>
      <c r="N131" s="390" t="s">
        <v>104</v>
      </c>
      <c r="O131" s="415" t="s">
        <v>106</v>
      </c>
      <c r="P131" s="367">
        <v>2080000</v>
      </c>
      <c r="Q131" s="368"/>
      <c r="R131" s="380" t="s">
        <v>1044</v>
      </c>
      <c r="S131" s="369"/>
      <c r="T131" s="370"/>
      <c r="U131" s="371"/>
      <c r="V131" s="400"/>
      <c r="W131" s="400"/>
      <c r="X131" s="439"/>
      <c r="Y131" s="439"/>
      <c r="Z131" s="434"/>
      <c r="AA131" s="366"/>
      <c r="AB131" s="423" t="s">
        <v>110</v>
      </c>
      <c r="AC131" s="424"/>
      <c r="AD131" s="424"/>
      <c r="AE131" s="422"/>
      <c r="AF131" s="381" t="s">
        <v>1050</v>
      </c>
      <c r="AG131" s="381"/>
      <c r="AH131" s="364"/>
      <c r="AI131" s="382"/>
      <c r="AJ131" s="364"/>
      <c r="AK131" s="381" t="s">
        <v>1058</v>
      </c>
      <c r="AL131" s="427"/>
      <c r="AM131" s="494" t="s">
        <v>1059</v>
      </c>
    </row>
    <row r="132" s="67" customFormat="1" ht="40" hidden="1" customHeight="1" spans="1:39">
      <c r="A132" s="363"/>
      <c r="B132" s="364" t="s">
        <v>1025</v>
      </c>
      <c r="C132" s="117" t="s">
        <v>1039</v>
      </c>
      <c r="D132" s="61"/>
      <c r="E132" s="365" t="s">
        <v>47</v>
      </c>
      <c r="F132" s="61"/>
      <c r="G132" s="61" t="s">
        <v>1046</v>
      </c>
      <c r="H132" s="366" t="s">
        <v>1060</v>
      </c>
      <c r="I132" s="61"/>
      <c r="J132" s="61"/>
      <c r="K132" s="365" t="s">
        <v>1048</v>
      </c>
      <c r="L132" s="365" t="s">
        <v>104</v>
      </c>
      <c r="M132" s="414" t="s">
        <v>1061</v>
      </c>
      <c r="N132" s="390" t="s">
        <v>104</v>
      </c>
      <c r="O132" s="415" t="s">
        <v>106</v>
      </c>
      <c r="P132" s="367">
        <v>2240000</v>
      </c>
      <c r="Q132" s="368"/>
      <c r="R132" s="380" t="s">
        <v>1044</v>
      </c>
      <c r="S132" s="369"/>
      <c r="T132" s="370"/>
      <c r="U132" s="371"/>
      <c r="V132" s="400"/>
      <c r="W132" s="400"/>
      <c r="X132" s="439"/>
      <c r="Y132" s="439"/>
      <c r="Z132" s="434"/>
      <c r="AA132" s="366"/>
      <c r="AB132" s="423" t="s">
        <v>110</v>
      </c>
      <c r="AC132" s="424"/>
      <c r="AD132" s="424"/>
      <c r="AE132" s="422"/>
      <c r="AF132" s="381" t="s">
        <v>1050</v>
      </c>
      <c r="AG132" s="381"/>
      <c r="AH132" s="364"/>
      <c r="AI132" s="382"/>
      <c r="AJ132" s="364"/>
      <c r="AK132" s="381" t="s">
        <v>1062</v>
      </c>
      <c r="AL132" s="427"/>
      <c r="AM132" s="494" t="s">
        <v>1063</v>
      </c>
    </row>
    <row r="133" ht="14" spans="1:39">
      <c r="A133" s="25"/>
      <c r="B133" s="63"/>
      <c r="C133" s="25"/>
      <c r="D133" s="25"/>
      <c r="E133" s="25"/>
      <c r="F133" s="25"/>
      <c r="G133" s="25"/>
      <c r="H133" s="25"/>
      <c r="I133" s="25"/>
      <c r="J133" s="25"/>
      <c r="K133" s="25"/>
      <c r="L133" s="25"/>
      <c r="M133" s="495"/>
      <c r="N133" s="63"/>
      <c r="O133" s="63"/>
      <c r="P133" s="496"/>
      <c r="Q133" s="497"/>
      <c r="R133" s="63"/>
      <c r="S133" s="498"/>
      <c r="T133" s="63"/>
      <c r="U133" s="63"/>
      <c r="V133" s="499"/>
      <c r="W133" s="499"/>
      <c r="X133" s="63"/>
      <c r="Y133" s="63"/>
      <c r="Z133" s="500"/>
      <c r="AA133" s="63"/>
      <c r="AB133" s="63"/>
      <c r="AC133" s="63"/>
      <c r="AD133" s="63"/>
      <c r="AE133" s="63"/>
      <c r="AF133" s="63"/>
      <c r="AG133" s="63"/>
      <c r="AH133" s="63"/>
      <c r="AI133" s="501"/>
      <c r="AJ133" s="63"/>
      <c r="AK133" s="25"/>
      <c r="AL133" s="25"/>
      <c r="AM133" s="25"/>
    </row>
    <row r="134" ht="14" spans="1:39">
      <c r="A134" s="25"/>
      <c r="B134" s="63"/>
      <c r="C134" s="25"/>
      <c r="D134" s="25"/>
      <c r="E134" s="25"/>
      <c r="F134" s="25"/>
      <c r="G134" s="25"/>
      <c r="H134" s="25"/>
      <c r="I134" s="25"/>
      <c r="J134" s="25"/>
      <c r="K134" s="25"/>
      <c r="L134" s="25"/>
      <c r="M134" s="495"/>
      <c r="N134" s="63"/>
      <c r="O134" s="63"/>
      <c r="P134" s="496"/>
      <c r="Q134" s="497"/>
      <c r="R134" s="63"/>
      <c r="S134" s="498"/>
      <c r="T134" s="63"/>
      <c r="U134" s="63"/>
      <c r="V134" s="499"/>
      <c r="W134" s="499"/>
      <c r="X134" s="63"/>
      <c r="Y134" s="63"/>
      <c r="Z134" s="500"/>
      <c r="AA134" s="63"/>
      <c r="AB134" s="63"/>
      <c r="AC134" s="63"/>
      <c r="AD134" s="63"/>
      <c r="AE134" s="63"/>
      <c r="AF134" s="63"/>
      <c r="AG134" s="63"/>
      <c r="AH134" s="63"/>
      <c r="AI134" s="501"/>
      <c r="AJ134" s="63"/>
      <c r="AK134" s="25"/>
      <c r="AL134" s="25"/>
      <c r="AM134" s="25"/>
    </row>
    <row r="135" ht="14" spans="1:39">
      <c r="A135" s="25"/>
      <c r="B135" s="63"/>
      <c r="C135" s="25"/>
      <c r="D135" s="25"/>
      <c r="E135" s="25"/>
      <c r="F135" s="25"/>
      <c r="G135" s="25"/>
      <c r="H135" s="25"/>
      <c r="I135" s="25"/>
      <c r="J135" s="25"/>
      <c r="K135" s="25"/>
      <c r="L135" s="25"/>
      <c r="M135" s="495"/>
      <c r="N135" s="63"/>
      <c r="O135" s="63"/>
      <c r="P135" s="496"/>
      <c r="Q135" s="497"/>
      <c r="R135" s="63"/>
      <c r="S135" s="498"/>
      <c r="T135" s="63"/>
      <c r="U135" s="63"/>
      <c r="V135" s="499"/>
      <c r="W135" s="499"/>
      <c r="X135" s="63"/>
      <c r="Y135" s="63"/>
      <c r="Z135" s="500"/>
      <c r="AA135" s="63"/>
      <c r="AB135" s="63"/>
      <c r="AC135" s="63"/>
      <c r="AD135" s="63"/>
      <c r="AE135" s="63"/>
      <c r="AF135" s="63"/>
      <c r="AG135" s="63"/>
      <c r="AH135" s="63"/>
      <c r="AI135" s="501"/>
      <c r="AJ135" s="63"/>
      <c r="AK135" s="25"/>
      <c r="AL135" s="25"/>
      <c r="AM135" s="25"/>
    </row>
    <row r="136" ht="14" spans="1:39">
      <c r="A136" s="25"/>
      <c r="B136" s="63"/>
      <c r="C136" s="25"/>
      <c r="D136" s="25"/>
      <c r="E136" s="25"/>
      <c r="F136" s="25"/>
      <c r="G136" s="25"/>
      <c r="H136" s="25"/>
      <c r="I136" s="25"/>
      <c r="J136" s="25"/>
      <c r="K136" s="25"/>
      <c r="L136" s="25"/>
      <c r="M136" s="495"/>
      <c r="N136" s="63"/>
      <c r="O136" s="63"/>
      <c r="P136" s="496"/>
      <c r="Q136" s="497"/>
      <c r="R136" s="63"/>
      <c r="S136" s="498"/>
      <c r="T136" s="63"/>
      <c r="U136" s="63"/>
      <c r="V136" s="499"/>
      <c r="W136" s="499"/>
      <c r="X136" s="63"/>
      <c r="Y136" s="63"/>
      <c r="Z136" s="500"/>
      <c r="AA136" s="63"/>
      <c r="AB136" s="63"/>
      <c r="AC136" s="63"/>
      <c r="AD136" s="63"/>
      <c r="AE136" s="63"/>
      <c r="AF136" s="63"/>
      <c r="AG136" s="63"/>
      <c r="AH136" s="63"/>
      <c r="AI136" s="501"/>
      <c r="AJ136" s="63"/>
      <c r="AK136" s="25"/>
      <c r="AL136" s="25"/>
      <c r="AM136" s="25"/>
    </row>
    <row r="137" ht="14" spans="1:39">
      <c r="A137" s="25"/>
      <c r="B137" s="63"/>
      <c r="C137" s="25"/>
      <c r="D137" s="25"/>
      <c r="E137" s="25"/>
      <c r="F137" s="25"/>
      <c r="G137" s="25"/>
      <c r="H137" s="25"/>
      <c r="I137" s="25"/>
      <c r="J137" s="25"/>
      <c r="K137" s="25"/>
      <c r="L137" s="25"/>
      <c r="M137" s="495"/>
      <c r="N137" s="63"/>
      <c r="O137" s="63"/>
      <c r="P137" s="496"/>
      <c r="Q137" s="497"/>
      <c r="R137" s="63"/>
      <c r="S137" s="498"/>
      <c r="T137" s="63"/>
      <c r="U137" s="63"/>
      <c r="V137" s="499"/>
      <c r="W137" s="499"/>
      <c r="X137" s="63"/>
      <c r="Y137" s="63"/>
      <c r="Z137" s="500"/>
      <c r="AA137" s="63"/>
      <c r="AB137" s="63"/>
      <c r="AC137" s="63"/>
      <c r="AD137" s="63"/>
      <c r="AE137" s="63"/>
      <c r="AF137" s="63"/>
      <c r="AG137" s="63"/>
      <c r="AH137" s="63"/>
      <c r="AI137" s="501"/>
      <c r="AJ137" s="63"/>
      <c r="AK137" s="25"/>
      <c r="AL137" s="25"/>
      <c r="AM137" s="25"/>
    </row>
    <row r="138" ht="14" spans="1:39">
      <c r="A138" s="25"/>
      <c r="B138" s="63"/>
      <c r="C138" s="25"/>
      <c r="D138" s="25"/>
      <c r="E138" s="25"/>
      <c r="F138" s="25"/>
      <c r="G138" s="25"/>
      <c r="H138" s="25"/>
      <c r="I138" s="25"/>
      <c r="J138" s="25"/>
      <c r="K138" s="25"/>
      <c r="L138" s="25"/>
      <c r="M138" s="495"/>
      <c r="N138" s="63"/>
      <c r="O138" s="63"/>
      <c r="P138" s="496"/>
      <c r="Q138" s="497"/>
      <c r="R138" s="63"/>
      <c r="S138" s="498"/>
      <c r="T138" s="63"/>
      <c r="U138" s="63"/>
      <c r="V138" s="499"/>
      <c r="W138" s="499"/>
      <c r="X138" s="63"/>
      <c r="Y138" s="63"/>
      <c r="Z138" s="500"/>
      <c r="AA138" s="63"/>
      <c r="AB138" s="63"/>
      <c r="AC138" s="63"/>
      <c r="AD138" s="63"/>
      <c r="AE138" s="63"/>
      <c r="AF138" s="63"/>
      <c r="AG138" s="63"/>
      <c r="AH138" s="63"/>
      <c r="AI138" s="501"/>
      <c r="AJ138" s="63"/>
      <c r="AK138" s="25"/>
      <c r="AL138" s="25"/>
      <c r="AM138" s="25"/>
    </row>
    <row r="139" ht="14" spans="1:39">
      <c r="A139" s="25"/>
      <c r="B139" s="63"/>
      <c r="C139" s="25"/>
      <c r="D139" s="25"/>
      <c r="E139" s="25"/>
      <c r="F139" s="25"/>
      <c r="G139" s="25"/>
      <c r="H139" s="25"/>
      <c r="I139" s="25"/>
      <c r="J139" s="25"/>
      <c r="K139" s="25"/>
      <c r="L139" s="25"/>
      <c r="M139" s="495"/>
      <c r="N139" s="63"/>
      <c r="O139" s="63"/>
      <c r="P139" s="496"/>
      <c r="Q139" s="497"/>
      <c r="R139" s="63"/>
      <c r="S139" s="498"/>
      <c r="T139" s="63"/>
      <c r="U139" s="63"/>
      <c r="V139" s="499"/>
      <c r="W139" s="499"/>
      <c r="X139" s="63"/>
      <c r="Y139" s="63"/>
      <c r="Z139" s="500"/>
      <c r="AA139" s="63"/>
      <c r="AB139" s="63"/>
      <c r="AC139" s="63"/>
      <c r="AD139" s="63"/>
      <c r="AE139" s="63"/>
      <c r="AF139" s="63"/>
      <c r="AG139" s="63"/>
      <c r="AH139" s="63"/>
      <c r="AI139" s="501"/>
      <c r="AJ139" s="63"/>
      <c r="AK139" s="25"/>
      <c r="AL139" s="25"/>
      <c r="AM139" s="25"/>
    </row>
    <row r="140" ht="14" spans="1:39">
      <c r="A140" s="25"/>
      <c r="B140" s="63"/>
      <c r="C140" s="25"/>
      <c r="D140" s="25"/>
      <c r="E140" s="25"/>
      <c r="F140" s="25"/>
      <c r="G140" s="25"/>
      <c r="H140" s="25"/>
      <c r="I140" s="25"/>
      <c r="J140" s="25"/>
      <c r="K140" s="25"/>
      <c r="L140" s="25"/>
      <c r="M140" s="495"/>
      <c r="N140" s="63"/>
      <c r="O140" s="63"/>
      <c r="P140" s="496"/>
      <c r="Q140" s="497"/>
      <c r="R140" s="63"/>
      <c r="S140" s="498"/>
      <c r="T140" s="63"/>
      <c r="U140" s="63"/>
      <c r="V140" s="499"/>
      <c r="W140" s="499"/>
      <c r="X140" s="63"/>
      <c r="Y140" s="63"/>
      <c r="Z140" s="500"/>
      <c r="AA140" s="63"/>
      <c r="AB140" s="63"/>
      <c r="AC140" s="63"/>
      <c r="AD140" s="63"/>
      <c r="AE140" s="63"/>
      <c r="AF140" s="63"/>
      <c r="AG140" s="63"/>
      <c r="AH140" s="63"/>
      <c r="AI140" s="501"/>
      <c r="AJ140" s="63"/>
      <c r="AK140" s="25"/>
      <c r="AL140" s="25"/>
      <c r="AM140" s="25"/>
    </row>
    <row r="141" ht="14" spans="1:39">
      <c r="A141" s="25"/>
      <c r="B141" s="63"/>
      <c r="C141" s="25"/>
      <c r="D141" s="25"/>
      <c r="E141" s="25"/>
      <c r="F141" s="25"/>
      <c r="G141" s="25"/>
      <c r="H141" s="25"/>
      <c r="I141" s="25"/>
      <c r="J141" s="25"/>
      <c r="K141" s="25"/>
      <c r="L141" s="25"/>
      <c r="M141" s="495"/>
      <c r="N141" s="63"/>
      <c r="O141" s="63"/>
      <c r="P141" s="496"/>
      <c r="Q141" s="497"/>
      <c r="R141" s="63"/>
      <c r="S141" s="498"/>
      <c r="T141" s="63"/>
      <c r="U141" s="63"/>
      <c r="V141" s="499"/>
      <c r="W141" s="499"/>
      <c r="X141" s="63"/>
      <c r="Y141" s="63"/>
      <c r="Z141" s="500"/>
      <c r="AA141" s="63"/>
      <c r="AB141" s="63"/>
      <c r="AC141" s="63"/>
      <c r="AD141" s="63"/>
      <c r="AE141" s="63"/>
      <c r="AF141" s="63"/>
      <c r="AG141" s="63"/>
      <c r="AH141" s="63"/>
      <c r="AI141" s="501"/>
      <c r="AJ141" s="63"/>
      <c r="AK141" s="25"/>
      <c r="AL141" s="25"/>
      <c r="AM141" s="25"/>
    </row>
    <row r="142" ht="14" spans="1:39">
      <c r="A142" s="25"/>
      <c r="B142" s="63"/>
      <c r="C142" s="25"/>
      <c r="D142" s="25"/>
      <c r="E142" s="25"/>
      <c r="F142" s="25"/>
      <c r="G142" s="25"/>
      <c r="H142" s="25"/>
      <c r="I142" s="25"/>
      <c r="J142" s="25"/>
      <c r="K142" s="25"/>
      <c r="L142" s="25"/>
      <c r="M142" s="495"/>
      <c r="N142" s="63"/>
      <c r="O142" s="63"/>
      <c r="P142" s="496"/>
      <c r="Q142" s="497"/>
      <c r="R142" s="63"/>
      <c r="S142" s="498"/>
      <c r="T142" s="63"/>
      <c r="U142" s="63"/>
      <c r="V142" s="499"/>
      <c r="W142" s="499"/>
      <c r="X142" s="63"/>
      <c r="Y142" s="63"/>
      <c r="Z142" s="500"/>
      <c r="AA142" s="63"/>
      <c r="AB142" s="63"/>
      <c r="AC142" s="63"/>
      <c r="AD142" s="63"/>
      <c r="AE142" s="63"/>
      <c r="AF142" s="63"/>
      <c r="AG142" s="63"/>
      <c r="AH142" s="63"/>
      <c r="AI142" s="501"/>
      <c r="AJ142" s="63"/>
      <c r="AK142" s="25"/>
      <c r="AL142" s="25"/>
      <c r="AM142" s="25"/>
    </row>
    <row r="143" ht="14" spans="1:39">
      <c r="A143" s="25"/>
      <c r="B143" s="63"/>
      <c r="C143" s="25"/>
      <c r="D143" s="25"/>
      <c r="E143" s="25"/>
      <c r="F143" s="25"/>
      <c r="G143" s="25"/>
      <c r="H143" s="25"/>
      <c r="I143" s="25"/>
      <c r="J143" s="25"/>
      <c r="K143" s="25"/>
      <c r="L143" s="25"/>
      <c r="M143" s="495"/>
      <c r="N143" s="63"/>
      <c r="O143" s="63"/>
      <c r="P143" s="496"/>
      <c r="Q143" s="497"/>
      <c r="R143" s="63"/>
      <c r="S143" s="498"/>
      <c r="T143" s="63"/>
      <c r="U143" s="63"/>
      <c r="V143" s="499"/>
      <c r="W143" s="499"/>
      <c r="X143" s="63"/>
      <c r="Y143" s="63"/>
      <c r="Z143" s="500"/>
      <c r="AA143" s="63"/>
      <c r="AB143" s="63"/>
      <c r="AC143" s="63"/>
      <c r="AD143" s="63"/>
      <c r="AE143" s="63"/>
      <c r="AF143" s="63"/>
      <c r="AG143" s="63"/>
      <c r="AH143" s="63"/>
      <c r="AI143" s="501"/>
      <c r="AJ143" s="63"/>
      <c r="AK143" s="25"/>
      <c r="AL143" s="25"/>
      <c r="AM143" s="25"/>
    </row>
    <row r="144" ht="14" spans="1:39">
      <c r="A144" s="25"/>
      <c r="B144" s="63"/>
      <c r="C144" s="25"/>
      <c r="D144" s="25"/>
      <c r="E144" s="25"/>
      <c r="F144" s="25"/>
      <c r="G144" s="25"/>
      <c r="H144" s="25"/>
      <c r="I144" s="25"/>
      <c r="J144" s="25"/>
      <c r="K144" s="25"/>
      <c r="L144" s="25"/>
      <c r="M144" s="495"/>
      <c r="N144" s="63"/>
      <c r="O144" s="63"/>
      <c r="P144" s="496"/>
      <c r="Q144" s="497"/>
      <c r="R144" s="63"/>
      <c r="S144" s="498"/>
      <c r="T144" s="63"/>
      <c r="U144" s="63"/>
      <c r="V144" s="499"/>
      <c r="W144" s="499"/>
      <c r="X144" s="63"/>
      <c r="Y144" s="63"/>
      <c r="Z144" s="500"/>
      <c r="AA144" s="63"/>
      <c r="AB144" s="63"/>
      <c r="AC144" s="63"/>
      <c r="AD144" s="63"/>
      <c r="AE144" s="63"/>
      <c r="AF144" s="63"/>
      <c r="AG144" s="63"/>
      <c r="AH144" s="63"/>
      <c r="AI144" s="501"/>
      <c r="AJ144" s="63"/>
      <c r="AK144" s="25"/>
      <c r="AL144" s="25"/>
      <c r="AM144" s="25"/>
    </row>
    <row r="145" ht="14" spans="1:39">
      <c r="A145" s="25"/>
      <c r="B145" s="63"/>
      <c r="C145" s="25"/>
      <c r="D145" s="25"/>
      <c r="E145" s="25"/>
      <c r="F145" s="25"/>
      <c r="G145" s="25"/>
      <c r="H145" s="25"/>
      <c r="I145" s="25"/>
      <c r="J145" s="25"/>
      <c r="K145" s="25"/>
      <c r="L145" s="25"/>
      <c r="M145" s="495"/>
      <c r="N145" s="63"/>
      <c r="O145" s="63"/>
      <c r="P145" s="496"/>
      <c r="Q145" s="497"/>
      <c r="R145" s="63"/>
      <c r="S145" s="498"/>
      <c r="T145" s="63"/>
      <c r="U145" s="63"/>
      <c r="V145" s="499"/>
      <c r="W145" s="499"/>
      <c r="X145" s="63"/>
      <c r="Y145" s="63"/>
      <c r="Z145" s="500"/>
      <c r="AA145" s="63"/>
      <c r="AB145" s="63"/>
      <c r="AC145" s="63"/>
      <c r="AD145" s="63"/>
      <c r="AE145" s="63"/>
      <c r="AF145" s="63"/>
      <c r="AG145" s="63"/>
      <c r="AH145" s="63"/>
      <c r="AI145" s="501"/>
      <c r="AJ145" s="63"/>
      <c r="AK145" s="25"/>
      <c r="AL145" s="25"/>
      <c r="AM145" s="25"/>
    </row>
    <row r="146" ht="14" spans="1:39">
      <c r="A146" s="25"/>
      <c r="B146" s="63"/>
      <c r="C146" s="25"/>
      <c r="D146" s="25"/>
      <c r="E146" s="25"/>
      <c r="F146" s="25"/>
      <c r="G146" s="25"/>
      <c r="H146" s="25"/>
      <c r="I146" s="25"/>
      <c r="J146" s="25"/>
      <c r="K146" s="25"/>
      <c r="L146" s="25"/>
      <c r="M146" s="495"/>
      <c r="N146" s="63"/>
      <c r="O146" s="63"/>
      <c r="P146" s="496"/>
      <c r="Q146" s="497"/>
      <c r="R146" s="63"/>
      <c r="S146" s="498"/>
      <c r="T146" s="63"/>
      <c r="U146" s="63"/>
      <c r="V146" s="499"/>
      <c r="W146" s="499"/>
      <c r="X146" s="63"/>
      <c r="Y146" s="63"/>
      <c r="Z146" s="500"/>
      <c r="AA146" s="63"/>
      <c r="AB146" s="63"/>
      <c r="AC146" s="63"/>
      <c r="AD146" s="63"/>
      <c r="AE146" s="63"/>
      <c r="AF146" s="63"/>
      <c r="AG146" s="63"/>
      <c r="AH146" s="63"/>
      <c r="AI146" s="501"/>
      <c r="AJ146" s="63"/>
      <c r="AK146" s="25"/>
      <c r="AL146" s="25"/>
      <c r="AM146" s="25"/>
    </row>
    <row r="147" ht="14" spans="1:39">
      <c r="A147" s="25"/>
      <c r="B147" s="63"/>
      <c r="C147" s="25"/>
      <c r="D147" s="25"/>
      <c r="E147" s="25"/>
      <c r="F147" s="25"/>
      <c r="G147" s="25"/>
      <c r="H147" s="25"/>
      <c r="I147" s="25"/>
      <c r="J147" s="25"/>
      <c r="K147" s="25"/>
      <c r="L147" s="25"/>
      <c r="M147" s="495"/>
      <c r="N147" s="63"/>
      <c r="O147" s="63"/>
      <c r="P147" s="496"/>
      <c r="Q147" s="497"/>
      <c r="R147" s="63"/>
      <c r="S147" s="498"/>
      <c r="T147" s="63"/>
      <c r="U147" s="63"/>
      <c r="V147" s="499"/>
      <c r="W147" s="499"/>
      <c r="X147" s="63"/>
      <c r="Y147" s="63"/>
      <c r="Z147" s="500"/>
      <c r="AA147" s="63"/>
      <c r="AB147" s="63"/>
      <c r="AC147" s="63"/>
      <c r="AD147" s="63"/>
      <c r="AE147" s="63"/>
      <c r="AF147" s="63"/>
      <c r="AG147" s="63"/>
      <c r="AH147" s="63"/>
      <c r="AI147" s="501"/>
      <c r="AJ147" s="63"/>
      <c r="AK147" s="25"/>
      <c r="AL147" s="25"/>
      <c r="AM147" s="25"/>
    </row>
    <row r="148" ht="14" spans="1:39">
      <c r="A148" s="25"/>
      <c r="B148" s="63"/>
      <c r="C148" s="25"/>
      <c r="D148" s="25"/>
      <c r="E148" s="25"/>
      <c r="F148" s="25"/>
      <c r="G148" s="25"/>
      <c r="H148" s="25"/>
      <c r="I148" s="25"/>
      <c r="J148" s="25"/>
      <c r="K148" s="25"/>
      <c r="L148" s="25"/>
      <c r="M148" s="495"/>
      <c r="N148" s="63"/>
      <c r="O148" s="63"/>
      <c r="P148" s="496"/>
      <c r="Q148" s="497"/>
      <c r="R148" s="63"/>
      <c r="S148" s="498"/>
      <c r="T148" s="63"/>
      <c r="U148" s="63"/>
      <c r="V148" s="499"/>
      <c r="W148" s="499"/>
      <c r="X148" s="63"/>
      <c r="Y148" s="63"/>
      <c r="Z148" s="500"/>
      <c r="AA148" s="63"/>
      <c r="AB148" s="63"/>
      <c r="AC148" s="63"/>
      <c r="AD148" s="63"/>
      <c r="AE148" s="63"/>
      <c r="AF148" s="63"/>
      <c r="AG148" s="63"/>
      <c r="AH148" s="63"/>
      <c r="AI148" s="501"/>
      <c r="AJ148" s="63"/>
      <c r="AK148" s="25"/>
      <c r="AL148" s="25"/>
      <c r="AM148" s="25"/>
    </row>
    <row r="149" ht="14" spans="1:39">
      <c r="A149" s="25"/>
      <c r="B149" s="63"/>
      <c r="C149" s="25"/>
      <c r="D149" s="25"/>
      <c r="E149" s="25"/>
      <c r="F149" s="25"/>
      <c r="G149" s="25"/>
      <c r="H149" s="25"/>
      <c r="I149" s="25"/>
      <c r="J149" s="25"/>
      <c r="K149" s="25"/>
      <c r="L149" s="25"/>
      <c r="M149" s="495"/>
      <c r="N149" s="63"/>
      <c r="O149" s="63"/>
      <c r="P149" s="496"/>
      <c r="Q149" s="497"/>
      <c r="R149" s="63"/>
      <c r="S149" s="498"/>
      <c r="T149" s="63"/>
      <c r="U149" s="63"/>
      <c r="V149" s="499"/>
      <c r="W149" s="499"/>
      <c r="X149" s="63"/>
      <c r="Y149" s="63"/>
      <c r="Z149" s="500"/>
      <c r="AA149" s="63"/>
      <c r="AB149" s="63"/>
      <c r="AC149" s="63"/>
      <c r="AD149" s="63"/>
      <c r="AE149" s="63"/>
      <c r="AF149" s="63"/>
      <c r="AG149" s="63"/>
      <c r="AH149" s="63"/>
      <c r="AI149" s="501"/>
      <c r="AJ149" s="63"/>
      <c r="AK149" s="25"/>
      <c r="AL149" s="25"/>
      <c r="AM149" s="25"/>
    </row>
    <row r="150" ht="14" spans="1:39">
      <c r="A150" s="25"/>
      <c r="B150" s="63"/>
      <c r="C150" s="25"/>
      <c r="D150" s="25"/>
      <c r="E150" s="25"/>
      <c r="F150" s="25"/>
      <c r="G150" s="25"/>
      <c r="H150" s="25"/>
      <c r="I150" s="25"/>
      <c r="J150" s="25"/>
      <c r="K150" s="25"/>
      <c r="L150" s="25"/>
      <c r="M150" s="495"/>
      <c r="N150" s="63"/>
      <c r="O150" s="63"/>
      <c r="P150" s="496"/>
      <c r="Q150" s="497"/>
      <c r="R150" s="63"/>
      <c r="S150" s="498"/>
      <c r="T150" s="63"/>
      <c r="U150" s="63"/>
      <c r="V150" s="499"/>
      <c r="W150" s="499"/>
      <c r="X150" s="63"/>
      <c r="Y150" s="63"/>
      <c r="Z150" s="500"/>
      <c r="AA150" s="63"/>
      <c r="AB150" s="63"/>
      <c r="AC150" s="63"/>
      <c r="AD150" s="63"/>
      <c r="AE150" s="63"/>
      <c r="AF150" s="63"/>
      <c r="AG150" s="63"/>
      <c r="AH150" s="63"/>
      <c r="AI150" s="501"/>
      <c r="AJ150" s="63"/>
      <c r="AK150" s="25"/>
      <c r="AL150" s="25"/>
      <c r="AM150" s="25"/>
    </row>
    <row r="151" ht="14" spans="1:39">
      <c r="A151" s="25"/>
      <c r="B151" s="63"/>
      <c r="C151" s="25"/>
      <c r="D151" s="25"/>
      <c r="E151" s="25"/>
      <c r="F151" s="25"/>
      <c r="G151" s="25"/>
      <c r="H151" s="25"/>
      <c r="I151" s="25"/>
      <c r="J151" s="25"/>
      <c r="K151" s="25"/>
      <c r="L151" s="25"/>
      <c r="M151" s="495"/>
      <c r="N151" s="63"/>
      <c r="O151" s="63"/>
      <c r="P151" s="496"/>
      <c r="Q151" s="497"/>
      <c r="R151" s="63"/>
      <c r="S151" s="498"/>
      <c r="T151" s="63"/>
      <c r="U151" s="63"/>
      <c r="V151" s="499"/>
      <c r="W151" s="499"/>
      <c r="X151" s="63"/>
      <c r="Y151" s="63"/>
      <c r="Z151" s="500"/>
      <c r="AA151" s="63"/>
      <c r="AB151" s="63"/>
      <c r="AC151" s="63"/>
      <c r="AD151" s="63"/>
      <c r="AE151" s="63"/>
      <c r="AF151" s="63"/>
      <c r="AG151" s="63"/>
      <c r="AH151" s="63"/>
      <c r="AI151" s="501"/>
      <c r="AJ151" s="63"/>
      <c r="AK151" s="25"/>
      <c r="AL151" s="25"/>
      <c r="AM151" s="25"/>
    </row>
    <row r="152" ht="14" spans="1:39">
      <c r="A152" s="25"/>
      <c r="B152" s="63"/>
      <c r="C152" s="25"/>
      <c r="D152" s="25"/>
      <c r="E152" s="25"/>
      <c r="F152" s="25"/>
      <c r="G152" s="25"/>
      <c r="H152" s="25"/>
      <c r="I152" s="25"/>
      <c r="J152" s="25"/>
      <c r="K152" s="25"/>
      <c r="L152" s="25"/>
      <c r="M152" s="495"/>
      <c r="N152" s="63"/>
      <c r="O152" s="63"/>
      <c r="P152" s="496"/>
      <c r="Q152" s="497"/>
      <c r="R152" s="63"/>
      <c r="S152" s="498"/>
      <c r="T152" s="63"/>
      <c r="U152" s="63"/>
      <c r="V152" s="499"/>
      <c r="W152" s="499"/>
      <c r="X152" s="63"/>
      <c r="Y152" s="63"/>
      <c r="Z152" s="500"/>
      <c r="AA152" s="63"/>
      <c r="AB152" s="63"/>
      <c r="AC152" s="63"/>
      <c r="AD152" s="63"/>
      <c r="AE152" s="63"/>
      <c r="AF152" s="63"/>
      <c r="AG152" s="63"/>
      <c r="AH152" s="63"/>
      <c r="AI152" s="501"/>
      <c r="AJ152" s="63"/>
      <c r="AK152" s="25"/>
      <c r="AL152" s="25"/>
      <c r="AM152" s="25"/>
    </row>
    <row r="153" ht="14" spans="1:39">
      <c r="A153" s="25"/>
      <c r="B153" s="63"/>
      <c r="C153" s="25"/>
      <c r="D153" s="25"/>
      <c r="E153" s="25"/>
      <c r="F153" s="25"/>
      <c r="G153" s="25"/>
      <c r="H153" s="25"/>
      <c r="I153" s="25"/>
      <c r="J153" s="25"/>
      <c r="K153" s="25"/>
      <c r="L153" s="25"/>
      <c r="M153" s="495"/>
      <c r="N153" s="63"/>
      <c r="O153" s="63"/>
      <c r="P153" s="496"/>
      <c r="Q153" s="497"/>
      <c r="R153" s="63"/>
      <c r="S153" s="498"/>
      <c r="T153" s="63"/>
      <c r="U153" s="63"/>
      <c r="V153" s="499"/>
      <c r="W153" s="499"/>
      <c r="X153" s="63"/>
      <c r="Y153" s="63"/>
      <c r="Z153" s="500"/>
      <c r="AA153" s="63"/>
      <c r="AB153" s="63"/>
      <c r="AC153" s="63"/>
      <c r="AD153" s="63"/>
      <c r="AE153" s="63"/>
      <c r="AF153" s="63"/>
      <c r="AG153" s="63"/>
      <c r="AH153" s="63"/>
      <c r="AI153" s="501"/>
      <c r="AJ153" s="63"/>
      <c r="AK153" s="25"/>
      <c r="AL153" s="25"/>
      <c r="AM153" s="25"/>
    </row>
    <row r="154" ht="14" spans="1:39">
      <c r="A154" s="25"/>
      <c r="B154" s="63"/>
      <c r="C154" s="25"/>
      <c r="D154" s="25"/>
      <c r="E154" s="25"/>
      <c r="F154" s="25"/>
      <c r="G154" s="25"/>
      <c r="H154" s="25"/>
      <c r="I154" s="25"/>
      <c r="J154" s="25"/>
      <c r="K154" s="25"/>
      <c r="L154" s="25"/>
      <c r="M154" s="495"/>
      <c r="N154" s="63"/>
      <c r="O154" s="63"/>
      <c r="P154" s="496"/>
      <c r="Q154" s="497"/>
      <c r="R154" s="63"/>
      <c r="S154" s="498"/>
      <c r="T154" s="63"/>
      <c r="U154" s="63"/>
      <c r="V154" s="499"/>
      <c r="W154" s="499"/>
      <c r="X154" s="63"/>
      <c r="Y154" s="63"/>
      <c r="Z154" s="500"/>
      <c r="AA154" s="63"/>
      <c r="AB154" s="63"/>
      <c r="AC154" s="63"/>
      <c r="AD154" s="63"/>
      <c r="AE154" s="63"/>
      <c r="AF154" s="63"/>
      <c r="AG154" s="63"/>
      <c r="AH154" s="63"/>
      <c r="AI154" s="501"/>
      <c r="AJ154" s="63"/>
      <c r="AK154" s="25"/>
      <c r="AL154" s="25"/>
      <c r="AM154" s="25"/>
    </row>
    <row r="155" ht="14" spans="1:39">
      <c r="A155" s="25"/>
      <c r="B155" s="63"/>
      <c r="C155" s="25"/>
      <c r="D155" s="25"/>
      <c r="E155" s="25"/>
      <c r="F155" s="25"/>
      <c r="G155" s="25"/>
      <c r="H155" s="25"/>
      <c r="I155" s="25"/>
      <c r="J155" s="25"/>
      <c r="K155" s="25"/>
      <c r="L155" s="25"/>
      <c r="M155" s="495"/>
      <c r="N155" s="63"/>
      <c r="O155" s="63"/>
      <c r="P155" s="496"/>
      <c r="Q155" s="497"/>
      <c r="R155" s="63"/>
      <c r="S155" s="498"/>
      <c r="T155" s="63"/>
      <c r="U155" s="63"/>
      <c r="V155" s="499"/>
      <c r="W155" s="499"/>
      <c r="X155" s="63"/>
      <c r="Y155" s="63"/>
      <c r="Z155" s="500"/>
      <c r="AA155" s="63"/>
      <c r="AB155" s="63"/>
      <c r="AC155" s="63"/>
      <c r="AD155" s="63"/>
      <c r="AE155" s="63"/>
      <c r="AF155" s="63"/>
      <c r="AG155" s="63"/>
      <c r="AH155" s="63"/>
      <c r="AI155" s="501"/>
      <c r="AJ155" s="63"/>
      <c r="AK155" s="25"/>
      <c r="AL155" s="25"/>
      <c r="AM155" s="25"/>
    </row>
    <row r="156" ht="14" spans="1:39">
      <c r="A156" s="25"/>
      <c r="B156" s="63"/>
      <c r="C156" s="25"/>
      <c r="D156" s="25"/>
      <c r="E156" s="25"/>
      <c r="F156" s="25"/>
      <c r="G156" s="25"/>
      <c r="H156" s="25"/>
      <c r="I156" s="25"/>
      <c r="J156" s="25"/>
      <c r="K156" s="25"/>
      <c r="L156" s="25"/>
      <c r="M156" s="495"/>
      <c r="N156" s="63"/>
      <c r="O156" s="63"/>
      <c r="P156" s="496"/>
      <c r="Q156" s="497"/>
      <c r="R156" s="63"/>
      <c r="S156" s="498"/>
      <c r="T156" s="63"/>
      <c r="U156" s="63"/>
      <c r="V156" s="499"/>
      <c r="W156" s="499"/>
      <c r="X156" s="63"/>
      <c r="Y156" s="63"/>
      <c r="Z156" s="500"/>
      <c r="AA156" s="63"/>
      <c r="AB156" s="63"/>
      <c r="AC156" s="63"/>
      <c r="AD156" s="63"/>
      <c r="AE156" s="63"/>
      <c r="AF156" s="63"/>
      <c r="AG156" s="63"/>
      <c r="AH156" s="63"/>
      <c r="AI156" s="501"/>
      <c r="AJ156" s="63"/>
      <c r="AK156" s="25"/>
      <c r="AL156" s="25"/>
      <c r="AM156" s="25"/>
    </row>
    <row r="157" ht="14" spans="1:39">
      <c r="A157" s="25"/>
      <c r="B157" s="63"/>
      <c r="C157" s="25"/>
      <c r="D157" s="25"/>
      <c r="E157" s="25"/>
      <c r="F157" s="25"/>
      <c r="G157" s="25"/>
      <c r="H157" s="25"/>
      <c r="I157" s="25"/>
      <c r="J157" s="25"/>
      <c r="K157" s="25"/>
      <c r="L157" s="25"/>
      <c r="M157" s="495"/>
      <c r="N157" s="63"/>
      <c r="O157" s="63"/>
      <c r="P157" s="496"/>
      <c r="Q157" s="497"/>
      <c r="R157" s="63"/>
      <c r="S157" s="498"/>
      <c r="T157" s="63"/>
      <c r="U157" s="63"/>
      <c r="V157" s="499"/>
      <c r="W157" s="499"/>
      <c r="X157" s="63"/>
      <c r="Y157" s="63"/>
      <c r="Z157" s="500"/>
      <c r="AA157" s="63"/>
      <c r="AB157" s="63"/>
      <c r="AC157" s="63"/>
      <c r="AD157" s="63"/>
      <c r="AE157" s="63"/>
      <c r="AF157" s="63"/>
      <c r="AG157" s="63"/>
      <c r="AH157" s="63"/>
      <c r="AI157" s="501"/>
      <c r="AJ157" s="63"/>
      <c r="AK157" s="25"/>
      <c r="AL157" s="25"/>
      <c r="AM157" s="25"/>
    </row>
    <row r="158" ht="14" spans="1:39">
      <c r="A158" s="25"/>
      <c r="B158" s="63"/>
      <c r="C158" s="25"/>
      <c r="D158" s="25"/>
      <c r="E158" s="25"/>
      <c r="F158" s="25"/>
      <c r="G158" s="25"/>
      <c r="H158" s="25"/>
      <c r="I158" s="25"/>
      <c r="J158" s="25"/>
      <c r="K158" s="25"/>
      <c r="L158" s="25"/>
      <c r="M158" s="495"/>
      <c r="N158" s="63"/>
      <c r="O158" s="63"/>
      <c r="P158" s="496"/>
      <c r="Q158" s="497"/>
      <c r="R158" s="63"/>
      <c r="S158" s="498"/>
      <c r="T158" s="63"/>
      <c r="U158" s="63"/>
      <c r="V158" s="499"/>
      <c r="W158" s="499"/>
      <c r="X158" s="63"/>
      <c r="Y158" s="63"/>
      <c r="Z158" s="500"/>
      <c r="AA158" s="63"/>
      <c r="AB158" s="63"/>
      <c r="AC158" s="63"/>
      <c r="AD158" s="63"/>
      <c r="AE158" s="63"/>
      <c r="AF158" s="63"/>
      <c r="AG158" s="63"/>
      <c r="AH158" s="63"/>
      <c r="AI158" s="501"/>
      <c r="AJ158" s="63"/>
      <c r="AK158" s="25"/>
      <c r="AL158" s="25"/>
      <c r="AM158" s="25"/>
    </row>
    <row r="159" ht="14" spans="1:39">
      <c r="A159" s="25"/>
      <c r="B159" s="63"/>
      <c r="C159" s="25"/>
      <c r="D159" s="25"/>
      <c r="E159" s="25"/>
      <c r="F159" s="25"/>
      <c r="G159" s="25"/>
      <c r="H159" s="25"/>
      <c r="I159" s="25"/>
      <c r="J159" s="25"/>
      <c r="K159" s="25"/>
      <c r="L159" s="25"/>
      <c r="M159" s="495"/>
      <c r="N159" s="63"/>
      <c r="O159" s="63"/>
      <c r="P159" s="496"/>
      <c r="Q159" s="497"/>
      <c r="R159" s="63"/>
      <c r="S159" s="498"/>
      <c r="T159" s="63"/>
      <c r="U159" s="63"/>
      <c r="V159" s="499"/>
      <c r="W159" s="499"/>
      <c r="X159" s="63"/>
      <c r="Y159" s="63"/>
      <c r="Z159" s="500"/>
      <c r="AA159" s="63"/>
      <c r="AB159" s="63"/>
      <c r="AC159" s="63"/>
      <c r="AD159" s="63"/>
      <c r="AE159" s="63"/>
      <c r="AF159" s="63"/>
      <c r="AG159" s="63"/>
      <c r="AH159" s="63"/>
      <c r="AI159" s="501"/>
      <c r="AJ159" s="63"/>
      <c r="AK159" s="25"/>
      <c r="AL159" s="25"/>
      <c r="AM159" s="25"/>
    </row>
    <row r="160" ht="14" spans="1:39">
      <c r="A160" s="25"/>
      <c r="B160" s="63"/>
      <c r="C160" s="25"/>
      <c r="D160" s="25"/>
      <c r="E160" s="25"/>
      <c r="F160" s="25"/>
      <c r="G160" s="25"/>
      <c r="H160" s="25"/>
      <c r="I160" s="25"/>
      <c r="J160" s="25"/>
      <c r="K160" s="25"/>
      <c r="L160" s="25"/>
      <c r="M160" s="495"/>
      <c r="N160" s="63"/>
      <c r="O160" s="63"/>
      <c r="P160" s="496"/>
      <c r="Q160" s="497"/>
      <c r="R160" s="63"/>
      <c r="S160" s="498"/>
      <c r="T160" s="63"/>
      <c r="U160" s="63"/>
      <c r="V160" s="499"/>
      <c r="W160" s="499"/>
      <c r="X160" s="63"/>
      <c r="Y160" s="63"/>
      <c r="Z160" s="500"/>
      <c r="AA160" s="63"/>
      <c r="AB160" s="63"/>
      <c r="AC160" s="63"/>
      <c r="AD160" s="63"/>
      <c r="AE160" s="63"/>
      <c r="AF160" s="63"/>
      <c r="AG160" s="63"/>
      <c r="AH160" s="63"/>
      <c r="AI160" s="501"/>
      <c r="AJ160" s="63"/>
      <c r="AK160" s="25"/>
      <c r="AL160" s="25"/>
      <c r="AM160" s="25"/>
    </row>
    <row r="161" ht="14" spans="1:39">
      <c r="A161" s="25"/>
      <c r="B161" s="63"/>
      <c r="C161" s="25"/>
      <c r="D161" s="25"/>
      <c r="E161" s="25"/>
      <c r="F161" s="25"/>
      <c r="G161" s="25"/>
      <c r="H161" s="25"/>
      <c r="I161" s="25"/>
      <c r="J161" s="25"/>
      <c r="K161" s="25"/>
      <c r="L161" s="25"/>
      <c r="M161" s="495"/>
      <c r="N161" s="63"/>
      <c r="O161" s="63"/>
      <c r="P161" s="496"/>
      <c r="Q161" s="497"/>
      <c r="R161" s="63"/>
      <c r="S161" s="498"/>
      <c r="T161" s="63"/>
      <c r="U161" s="63"/>
      <c r="V161" s="499"/>
      <c r="W161" s="499"/>
      <c r="X161" s="63"/>
      <c r="Y161" s="63"/>
      <c r="Z161" s="500"/>
      <c r="AA161" s="63"/>
      <c r="AB161" s="63"/>
      <c r="AC161" s="63"/>
      <c r="AD161" s="63"/>
      <c r="AE161" s="63"/>
      <c r="AF161" s="63"/>
      <c r="AG161" s="63"/>
      <c r="AH161" s="63"/>
      <c r="AI161" s="501"/>
      <c r="AJ161" s="63"/>
      <c r="AK161" s="25"/>
      <c r="AL161" s="25"/>
      <c r="AM161" s="25"/>
    </row>
    <row r="162" ht="14" spans="1:39">
      <c r="A162" s="25"/>
      <c r="B162" s="63"/>
      <c r="C162" s="25"/>
      <c r="D162" s="25"/>
      <c r="E162" s="25"/>
      <c r="F162" s="25"/>
      <c r="G162" s="25"/>
      <c r="H162" s="25"/>
      <c r="I162" s="25"/>
      <c r="J162" s="25"/>
      <c r="K162" s="25"/>
      <c r="L162" s="25"/>
      <c r="M162" s="495"/>
      <c r="N162" s="63"/>
      <c r="O162" s="63"/>
      <c r="P162" s="496"/>
      <c r="Q162" s="497"/>
      <c r="R162" s="63"/>
      <c r="S162" s="498"/>
      <c r="T162" s="63"/>
      <c r="U162" s="63"/>
      <c r="V162" s="499"/>
      <c r="W162" s="499"/>
      <c r="X162" s="63"/>
      <c r="Y162" s="63"/>
      <c r="Z162" s="500"/>
      <c r="AA162" s="63"/>
      <c r="AB162" s="63"/>
      <c r="AC162" s="63"/>
      <c r="AD162" s="63"/>
      <c r="AE162" s="63"/>
      <c r="AF162" s="63"/>
      <c r="AG162" s="63"/>
      <c r="AH162" s="63"/>
      <c r="AI162" s="501"/>
      <c r="AJ162" s="63"/>
      <c r="AK162" s="25"/>
      <c r="AL162" s="25"/>
      <c r="AM162" s="25"/>
    </row>
    <row r="163" ht="14" spans="1:39">
      <c r="A163" s="25"/>
      <c r="B163" s="63"/>
      <c r="C163" s="25"/>
      <c r="D163" s="25"/>
      <c r="E163" s="25"/>
      <c r="F163" s="25"/>
      <c r="G163" s="25"/>
      <c r="H163" s="25"/>
      <c r="I163" s="25"/>
      <c r="J163" s="25"/>
      <c r="K163" s="25"/>
      <c r="L163" s="25"/>
      <c r="M163" s="495"/>
      <c r="N163" s="63"/>
      <c r="O163" s="63"/>
      <c r="P163" s="496"/>
      <c r="Q163" s="497"/>
      <c r="R163" s="63"/>
      <c r="S163" s="498"/>
      <c r="T163" s="63"/>
      <c r="U163" s="63"/>
      <c r="V163" s="499"/>
      <c r="W163" s="499"/>
      <c r="X163" s="63"/>
      <c r="Y163" s="63"/>
      <c r="Z163" s="500"/>
      <c r="AA163" s="63"/>
      <c r="AB163" s="63"/>
      <c r="AC163" s="63"/>
      <c r="AD163" s="63"/>
      <c r="AE163" s="63"/>
      <c r="AF163" s="63"/>
      <c r="AG163" s="63"/>
      <c r="AH163" s="63"/>
      <c r="AI163" s="501"/>
      <c r="AJ163" s="63"/>
      <c r="AK163" s="25"/>
      <c r="AL163" s="25"/>
      <c r="AM163" s="25"/>
    </row>
    <row r="164" ht="14" spans="1:39">
      <c r="A164" s="25"/>
      <c r="B164" s="63"/>
      <c r="C164" s="25"/>
      <c r="D164" s="25"/>
      <c r="E164" s="25"/>
      <c r="F164" s="25"/>
      <c r="G164" s="25"/>
      <c r="H164" s="25"/>
      <c r="I164" s="25"/>
      <c r="J164" s="25"/>
      <c r="K164" s="25"/>
      <c r="L164" s="25"/>
      <c r="M164" s="495"/>
      <c r="N164" s="63"/>
      <c r="O164" s="63"/>
      <c r="P164" s="496"/>
      <c r="Q164" s="497"/>
      <c r="R164" s="63"/>
      <c r="S164" s="498"/>
      <c r="T164" s="63"/>
      <c r="U164" s="63"/>
      <c r="V164" s="499"/>
      <c r="W164" s="499"/>
      <c r="X164" s="63"/>
      <c r="Y164" s="63"/>
      <c r="Z164" s="500"/>
      <c r="AA164" s="63"/>
      <c r="AB164" s="63"/>
      <c r="AC164" s="63"/>
      <c r="AD164" s="63"/>
      <c r="AE164" s="63"/>
      <c r="AF164" s="63"/>
      <c r="AG164" s="63"/>
      <c r="AH164" s="63"/>
      <c r="AI164" s="501"/>
      <c r="AJ164" s="63"/>
      <c r="AK164" s="25"/>
      <c r="AL164" s="25"/>
      <c r="AM164" s="25"/>
    </row>
    <row r="165" ht="14" spans="1:39">
      <c r="A165" s="25"/>
      <c r="B165" s="63"/>
      <c r="C165" s="25"/>
      <c r="D165" s="25"/>
      <c r="E165" s="25"/>
      <c r="F165" s="25"/>
      <c r="G165" s="25"/>
      <c r="H165" s="25"/>
      <c r="I165" s="25"/>
      <c r="J165" s="25"/>
      <c r="K165" s="25"/>
      <c r="L165" s="25"/>
      <c r="M165" s="495"/>
      <c r="N165" s="63"/>
      <c r="O165" s="63"/>
      <c r="P165" s="496"/>
      <c r="Q165" s="497"/>
      <c r="R165" s="63"/>
      <c r="S165" s="498"/>
      <c r="T165" s="63"/>
      <c r="U165" s="63"/>
      <c r="V165" s="499"/>
      <c r="W165" s="499"/>
      <c r="X165" s="63"/>
      <c r="Y165" s="63"/>
      <c r="Z165" s="500"/>
      <c r="AA165" s="63"/>
      <c r="AB165" s="63"/>
      <c r="AC165" s="63"/>
      <c r="AD165" s="63"/>
      <c r="AE165" s="63"/>
      <c r="AF165" s="63"/>
      <c r="AG165" s="63"/>
      <c r="AH165" s="63"/>
      <c r="AI165" s="501"/>
      <c r="AJ165" s="63"/>
      <c r="AK165" s="25"/>
      <c r="AL165" s="25"/>
      <c r="AM165" s="25"/>
    </row>
    <row r="166" ht="14" spans="1:39">
      <c r="A166" s="25"/>
      <c r="B166" s="63"/>
      <c r="C166" s="25"/>
      <c r="D166" s="25"/>
      <c r="E166" s="25"/>
      <c r="F166" s="25"/>
      <c r="G166" s="25"/>
      <c r="H166" s="25"/>
      <c r="I166" s="25"/>
      <c r="J166" s="25"/>
      <c r="K166" s="25"/>
      <c r="L166" s="25"/>
      <c r="M166" s="495"/>
      <c r="N166" s="63"/>
      <c r="O166" s="63"/>
      <c r="P166" s="496"/>
      <c r="Q166" s="497"/>
      <c r="R166" s="63"/>
      <c r="S166" s="498"/>
      <c r="T166" s="63"/>
      <c r="U166" s="63"/>
      <c r="V166" s="499"/>
      <c r="W166" s="499"/>
      <c r="X166" s="63"/>
      <c r="Y166" s="63"/>
      <c r="Z166" s="500"/>
      <c r="AA166" s="63"/>
      <c r="AB166" s="63"/>
      <c r="AC166" s="63"/>
      <c r="AD166" s="63"/>
      <c r="AE166" s="63"/>
      <c r="AF166" s="63"/>
      <c r="AG166" s="63"/>
      <c r="AH166" s="63"/>
      <c r="AI166" s="501"/>
      <c r="AJ166" s="63"/>
      <c r="AK166" s="25"/>
      <c r="AL166" s="25"/>
      <c r="AM166" s="25"/>
    </row>
    <row r="167" ht="14" spans="1:39">
      <c r="A167" s="25"/>
      <c r="B167" s="63"/>
      <c r="C167" s="25"/>
      <c r="D167" s="25"/>
      <c r="E167" s="25"/>
      <c r="F167" s="25"/>
      <c r="G167" s="25"/>
      <c r="H167" s="25"/>
      <c r="I167" s="25"/>
      <c r="J167" s="25"/>
      <c r="K167" s="25"/>
      <c r="L167" s="25"/>
      <c r="M167" s="495"/>
      <c r="N167" s="63"/>
      <c r="O167" s="63"/>
      <c r="P167" s="496"/>
      <c r="Q167" s="497"/>
      <c r="R167" s="63"/>
      <c r="S167" s="498"/>
      <c r="T167" s="63"/>
      <c r="U167" s="63"/>
      <c r="V167" s="499"/>
      <c r="W167" s="499"/>
      <c r="X167" s="63"/>
      <c r="Y167" s="63"/>
      <c r="Z167" s="500"/>
      <c r="AA167" s="63"/>
      <c r="AB167" s="63"/>
      <c r="AC167" s="63"/>
      <c r="AD167" s="63"/>
      <c r="AE167" s="63"/>
      <c r="AF167" s="63"/>
      <c r="AG167" s="63"/>
      <c r="AH167" s="63"/>
      <c r="AI167" s="501"/>
      <c r="AJ167" s="63"/>
      <c r="AK167" s="25"/>
      <c r="AL167" s="25"/>
      <c r="AM167" s="25"/>
    </row>
    <row r="168" ht="14" spans="1:39">
      <c r="A168" s="25"/>
      <c r="B168" s="63"/>
      <c r="C168" s="25"/>
      <c r="D168" s="25"/>
      <c r="E168" s="25"/>
      <c r="F168" s="25"/>
      <c r="G168" s="25"/>
      <c r="H168" s="25"/>
      <c r="I168" s="25"/>
      <c r="J168" s="25"/>
      <c r="K168" s="25"/>
      <c r="L168" s="25"/>
      <c r="M168" s="495"/>
      <c r="N168" s="63"/>
      <c r="O168" s="63"/>
      <c r="P168" s="496"/>
      <c r="Q168" s="497"/>
      <c r="R168" s="63"/>
      <c r="S168" s="498"/>
      <c r="T168" s="63"/>
      <c r="U168" s="63"/>
      <c r="V168" s="499"/>
      <c r="W168" s="499"/>
      <c r="X168" s="63"/>
      <c r="Y168" s="63"/>
      <c r="Z168" s="500"/>
      <c r="AA168" s="63"/>
      <c r="AB168" s="63"/>
      <c r="AC168" s="63"/>
      <c r="AD168" s="63"/>
      <c r="AE168" s="63"/>
      <c r="AF168" s="63"/>
      <c r="AG168" s="63"/>
      <c r="AH168" s="63"/>
      <c r="AI168" s="501"/>
      <c r="AJ168" s="63"/>
      <c r="AK168" s="25"/>
      <c r="AL168" s="25"/>
      <c r="AM168" s="25"/>
    </row>
    <row r="169" ht="14" spans="1:39">
      <c r="A169" s="25"/>
      <c r="B169" s="63"/>
      <c r="C169" s="25"/>
      <c r="D169" s="25"/>
      <c r="E169" s="25"/>
      <c r="F169" s="25"/>
      <c r="G169" s="25"/>
      <c r="H169" s="25"/>
      <c r="I169" s="25"/>
      <c r="J169" s="25"/>
      <c r="K169" s="25"/>
      <c r="L169" s="25"/>
      <c r="M169" s="495"/>
      <c r="N169" s="63"/>
      <c r="O169" s="63"/>
      <c r="P169" s="496"/>
      <c r="Q169" s="497"/>
      <c r="R169" s="63"/>
      <c r="S169" s="498"/>
      <c r="T169" s="63"/>
      <c r="U169" s="63"/>
      <c r="V169" s="499"/>
      <c r="W169" s="499"/>
      <c r="X169" s="63"/>
      <c r="Y169" s="63"/>
      <c r="Z169" s="500"/>
      <c r="AA169" s="63"/>
      <c r="AB169" s="63"/>
      <c r="AC169" s="63"/>
      <c r="AD169" s="63"/>
      <c r="AE169" s="63"/>
      <c r="AF169" s="63"/>
      <c r="AG169" s="63"/>
      <c r="AH169" s="63"/>
      <c r="AI169" s="501"/>
      <c r="AJ169" s="63"/>
      <c r="AK169" s="25"/>
      <c r="AL169" s="25"/>
      <c r="AM169" s="25"/>
    </row>
    <row r="170" ht="14" spans="1:39">
      <c r="A170" s="25"/>
      <c r="B170" s="63"/>
      <c r="C170" s="25"/>
      <c r="D170" s="25"/>
      <c r="E170" s="25"/>
      <c r="F170" s="25"/>
      <c r="G170" s="25"/>
      <c r="H170" s="25"/>
      <c r="I170" s="25"/>
      <c r="J170" s="25"/>
      <c r="K170" s="25"/>
      <c r="L170" s="25"/>
      <c r="M170" s="495"/>
      <c r="N170" s="63"/>
      <c r="O170" s="63"/>
      <c r="P170" s="496"/>
      <c r="Q170" s="497"/>
      <c r="R170" s="63"/>
      <c r="S170" s="498"/>
      <c r="T170" s="63"/>
      <c r="U170" s="63"/>
      <c r="V170" s="499"/>
      <c r="W170" s="499"/>
      <c r="X170" s="63"/>
      <c r="Y170" s="63"/>
      <c r="Z170" s="500"/>
      <c r="AA170" s="63"/>
      <c r="AB170" s="63"/>
      <c r="AC170" s="63"/>
      <c r="AD170" s="63"/>
      <c r="AE170" s="63"/>
      <c r="AF170" s="63"/>
      <c r="AG170" s="63"/>
      <c r="AH170" s="63"/>
      <c r="AI170" s="501"/>
      <c r="AJ170" s="63"/>
      <c r="AK170" s="25"/>
      <c r="AL170" s="25"/>
      <c r="AM170" s="25"/>
    </row>
    <row r="171" ht="14" spans="1:39">
      <c r="A171" s="25"/>
      <c r="B171" s="63"/>
      <c r="C171" s="25"/>
      <c r="D171" s="25"/>
      <c r="E171" s="25"/>
      <c r="F171" s="25"/>
      <c r="G171" s="25"/>
      <c r="H171" s="25"/>
      <c r="I171" s="25"/>
      <c r="J171" s="25"/>
      <c r="K171" s="25"/>
      <c r="L171" s="25"/>
      <c r="M171" s="495"/>
      <c r="N171" s="63"/>
      <c r="O171" s="63"/>
      <c r="P171" s="496"/>
      <c r="Q171" s="497"/>
      <c r="R171" s="63"/>
      <c r="S171" s="498"/>
      <c r="T171" s="63"/>
      <c r="U171" s="63"/>
      <c r="V171" s="499"/>
      <c r="W171" s="499"/>
      <c r="X171" s="63"/>
      <c r="Y171" s="63"/>
      <c r="Z171" s="500"/>
      <c r="AA171" s="63"/>
      <c r="AB171" s="63"/>
      <c r="AC171" s="63"/>
      <c r="AD171" s="63"/>
      <c r="AE171" s="63"/>
      <c r="AF171" s="63"/>
      <c r="AG171" s="63"/>
      <c r="AH171" s="63"/>
      <c r="AI171" s="501"/>
      <c r="AJ171" s="63"/>
      <c r="AK171" s="25"/>
      <c r="AL171" s="25"/>
      <c r="AM171" s="25"/>
    </row>
    <row r="172" ht="14" spans="1:39">
      <c r="A172" s="25"/>
      <c r="B172" s="63"/>
      <c r="C172" s="25"/>
      <c r="D172" s="25"/>
      <c r="E172" s="25"/>
      <c r="F172" s="25"/>
      <c r="G172" s="25"/>
      <c r="H172" s="25"/>
      <c r="I172" s="25"/>
      <c r="J172" s="25"/>
      <c r="K172" s="25"/>
      <c r="L172" s="25"/>
      <c r="M172" s="495"/>
      <c r="N172" s="63"/>
      <c r="O172" s="63"/>
      <c r="P172" s="496"/>
      <c r="Q172" s="497"/>
      <c r="R172" s="63"/>
      <c r="S172" s="498"/>
      <c r="T172" s="63"/>
      <c r="U172" s="63"/>
      <c r="V172" s="499"/>
      <c r="W172" s="499"/>
      <c r="X172" s="63"/>
      <c r="Y172" s="63"/>
      <c r="Z172" s="500"/>
      <c r="AA172" s="63"/>
      <c r="AB172" s="63"/>
      <c r="AC172" s="63"/>
      <c r="AD172" s="63"/>
      <c r="AE172" s="63"/>
      <c r="AF172" s="63"/>
      <c r="AG172" s="63"/>
      <c r="AH172" s="63"/>
      <c r="AI172" s="501"/>
      <c r="AJ172" s="63"/>
      <c r="AK172" s="25"/>
      <c r="AL172" s="25"/>
      <c r="AM172" s="25"/>
    </row>
    <row r="173" ht="14" spans="1:39">
      <c r="A173" s="25"/>
      <c r="B173" s="63"/>
      <c r="C173" s="25"/>
      <c r="D173" s="25"/>
      <c r="E173" s="25"/>
      <c r="F173" s="25"/>
      <c r="G173" s="25"/>
      <c r="H173" s="25"/>
      <c r="I173" s="25"/>
      <c r="J173" s="25"/>
      <c r="K173" s="25"/>
      <c r="L173" s="25"/>
      <c r="M173" s="495"/>
      <c r="N173" s="63"/>
      <c r="O173" s="63"/>
      <c r="P173" s="496"/>
      <c r="Q173" s="497"/>
      <c r="R173" s="63"/>
      <c r="S173" s="498"/>
      <c r="T173" s="63"/>
      <c r="U173" s="63"/>
      <c r="V173" s="499"/>
      <c r="W173" s="499"/>
      <c r="X173" s="63"/>
      <c r="Y173" s="63"/>
      <c r="Z173" s="500"/>
      <c r="AA173" s="63"/>
      <c r="AB173" s="63"/>
      <c r="AC173" s="63"/>
      <c r="AD173" s="63"/>
      <c r="AE173" s="63"/>
      <c r="AF173" s="63"/>
      <c r="AG173" s="63"/>
      <c r="AH173" s="63"/>
      <c r="AI173" s="501"/>
      <c r="AJ173" s="63"/>
      <c r="AK173" s="25"/>
      <c r="AL173" s="25"/>
      <c r="AM173" s="25"/>
    </row>
    <row r="174" ht="14" spans="1:39">
      <c r="A174" s="25"/>
      <c r="B174" s="63"/>
      <c r="C174" s="25"/>
      <c r="D174" s="25"/>
      <c r="E174" s="25"/>
      <c r="F174" s="25"/>
      <c r="G174" s="25"/>
      <c r="H174" s="25"/>
      <c r="I174" s="25"/>
      <c r="J174" s="25"/>
      <c r="K174" s="25"/>
      <c r="L174" s="25"/>
      <c r="M174" s="495"/>
      <c r="N174" s="63"/>
      <c r="O174" s="63"/>
      <c r="P174" s="496"/>
      <c r="Q174" s="497"/>
      <c r="R174" s="63"/>
      <c r="S174" s="498"/>
      <c r="T174" s="63"/>
      <c r="U174" s="63"/>
      <c r="V174" s="499"/>
      <c r="W174" s="499"/>
      <c r="X174" s="63"/>
      <c r="Y174" s="63"/>
      <c r="Z174" s="500"/>
      <c r="AA174" s="63"/>
      <c r="AB174" s="63"/>
      <c r="AC174" s="63"/>
      <c r="AD174" s="63"/>
      <c r="AE174" s="63"/>
      <c r="AF174" s="63"/>
      <c r="AG174" s="63"/>
      <c r="AH174" s="63"/>
      <c r="AI174" s="501"/>
      <c r="AJ174" s="63"/>
      <c r="AK174" s="25"/>
      <c r="AL174" s="25"/>
      <c r="AM174" s="25"/>
    </row>
    <row r="175" ht="14" spans="1:39">
      <c r="A175" s="25"/>
      <c r="B175" s="63"/>
      <c r="C175" s="25"/>
      <c r="D175" s="25"/>
      <c r="E175" s="25"/>
      <c r="F175" s="25"/>
      <c r="G175" s="25"/>
      <c r="H175" s="25"/>
      <c r="I175" s="25"/>
      <c r="J175" s="25"/>
      <c r="K175" s="25"/>
      <c r="L175" s="25"/>
      <c r="M175" s="495"/>
      <c r="N175" s="63"/>
      <c r="O175" s="63"/>
      <c r="P175" s="496"/>
      <c r="Q175" s="497"/>
      <c r="R175" s="63"/>
      <c r="S175" s="498"/>
      <c r="T175" s="63"/>
      <c r="U175" s="63"/>
      <c r="V175" s="499"/>
      <c r="W175" s="499"/>
      <c r="X175" s="63"/>
      <c r="Y175" s="63"/>
      <c r="Z175" s="500"/>
      <c r="AA175" s="63"/>
      <c r="AB175" s="63"/>
      <c r="AC175" s="63"/>
      <c r="AD175" s="63"/>
      <c r="AE175" s="63"/>
      <c r="AF175" s="63"/>
      <c r="AG175" s="63"/>
      <c r="AH175" s="63"/>
      <c r="AI175" s="501"/>
      <c r="AJ175" s="63"/>
      <c r="AK175" s="25"/>
      <c r="AL175" s="25"/>
      <c r="AM175" s="25"/>
    </row>
    <row r="176" ht="14" spans="1:39">
      <c r="A176" s="25"/>
      <c r="B176" s="63"/>
      <c r="C176" s="25"/>
      <c r="D176" s="25"/>
      <c r="E176" s="25"/>
      <c r="F176" s="25"/>
      <c r="G176" s="25"/>
      <c r="H176" s="25"/>
      <c r="I176" s="25"/>
      <c r="J176" s="25"/>
      <c r="K176" s="25"/>
      <c r="L176" s="25"/>
      <c r="M176" s="495"/>
      <c r="N176" s="63"/>
      <c r="O176" s="63"/>
      <c r="P176" s="496"/>
      <c r="Q176" s="497"/>
      <c r="R176" s="63"/>
      <c r="S176" s="498"/>
      <c r="T176" s="63"/>
      <c r="U176" s="63"/>
      <c r="V176" s="499"/>
      <c r="W176" s="499"/>
      <c r="X176" s="63"/>
      <c r="Y176" s="63"/>
      <c r="Z176" s="500"/>
      <c r="AA176" s="63"/>
      <c r="AB176" s="63"/>
      <c r="AC176" s="63"/>
      <c r="AD176" s="63"/>
      <c r="AE176" s="63"/>
      <c r="AF176" s="63"/>
      <c r="AG176" s="63"/>
      <c r="AH176" s="63"/>
      <c r="AI176" s="501"/>
      <c r="AJ176" s="63"/>
      <c r="AK176" s="25"/>
      <c r="AL176" s="25"/>
      <c r="AM176" s="25"/>
    </row>
    <row r="177" ht="14" spans="1:39">
      <c r="A177" s="25"/>
      <c r="B177" s="63"/>
      <c r="C177" s="25"/>
      <c r="D177" s="25"/>
      <c r="E177" s="25"/>
      <c r="F177" s="25"/>
      <c r="G177" s="25"/>
      <c r="H177" s="25"/>
      <c r="I177" s="25"/>
      <c r="J177" s="25"/>
      <c r="K177" s="25"/>
      <c r="L177" s="25"/>
      <c r="M177" s="495"/>
      <c r="N177" s="63"/>
      <c r="O177" s="63"/>
      <c r="P177" s="496"/>
      <c r="Q177" s="497"/>
      <c r="R177" s="63"/>
      <c r="S177" s="498"/>
      <c r="T177" s="63"/>
      <c r="U177" s="63"/>
      <c r="V177" s="499"/>
      <c r="W177" s="499"/>
      <c r="X177" s="63"/>
      <c r="Y177" s="63"/>
      <c r="Z177" s="500"/>
      <c r="AA177" s="63"/>
      <c r="AB177" s="63"/>
      <c r="AC177" s="63"/>
      <c r="AD177" s="63"/>
      <c r="AE177" s="63"/>
      <c r="AF177" s="63"/>
      <c r="AG177" s="63"/>
      <c r="AH177" s="63"/>
      <c r="AI177" s="501"/>
      <c r="AJ177" s="63"/>
      <c r="AK177" s="25"/>
      <c r="AL177" s="25"/>
      <c r="AM177" s="25"/>
    </row>
    <row r="178" ht="14" spans="1:39">
      <c r="A178" s="25"/>
      <c r="B178" s="63"/>
      <c r="C178" s="25"/>
      <c r="D178" s="25"/>
      <c r="E178" s="25"/>
      <c r="F178" s="25"/>
      <c r="G178" s="25"/>
      <c r="H178" s="25"/>
      <c r="I178" s="25"/>
      <c r="J178" s="25"/>
      <c r="K178" s="25"/>
      <c r="L178" s="25"/>
      <c r="M178" s="495"/>
      <c r="N178" s="63"/>
      <c r="O178" s="63"/>
      <c r="P178" s="496"/>
      <c r="Q178" s="497"/>
      <c r="R178" s="63"/>
      <c r="S178" s="498"/>
      <c r="T178" s="63"/>
      <c r="U178" s="63"/>
      <c r="V178" s="499"/>
      <c r="W178" s="499"/>
      <c r="X178" s="63"/>
      <c r="Y178" s="63"/>
      <c r="Z178" s="500"/>
      <c r="AA178" s="63"/>
      <c r="AB178" s="63"/>
      <c r="AC178" s="63"/>
      <c r="AD178" s="63"/>
      <c r="AE178" s="63"/>
      <c r="AF178" s="63"/>
      <c r="AG178" s="63"/>
      <c r="AH178" s="63"/>
      <c r="AI178" s="501"/>
      <c r="AJ178" s="63"/>
      <c r="AK178" s="25"/>
      <c r="AL178" s="25"/>
      <c r="AM178" s="25"/>
    </row>
    <row r="179" ht="14" spans="1:39">
      <c r="A179" s="25"/>
      <c r="B179" s="63"/>
      <c r="C179" s="25"/>
      <c r="D179" s="25"/>
      <c r="E179" s="25"/>
      <c r="F179" s="25"/>
      <c r="G179" s="25"/>
      <c r="H179" s="25"/>
      <c r="I179" s="25"/>
      <c r="J179" s="25"/>
      <c r="K179" s="25"/>
      <c r="L179" s="25"/>
      <c r="M179" s="495"/>
      <c r="N179" s="63"/>
      <c r="O179" s="63"/>
      <c r="P179" s="496"/>
      <c r="Q179" s="497"/>
      <c r="R179" s="63"/>
      <c r="S179" s="498"/>
      <c r="T179" s="63"/>
      <c r="U179" s="63"/>
      <c r="V179" s="499"/>
      <c r="W179" s="499"/>
      <c r="X179" s="63"/>
      <c r="Y179" s="63"/>
      <c r="Z179" s="500"/>
      <c r="AA179" s="63"/>
      <c r="AB179" s="63"/>
      <c r="AC179" s="63"/>
      <c r="AD179" s="63"/>
      <c r="AE179" s="63"/>
      <c r="AF179" s="63"/>
      <c r="AG179" s="63"/>
      <c r="AH179" s="63"/>
      <c r="AI179" s="501"/>
      <c r="AJ179" s="63"/>
      <c r="AK179" s="25"/>
      <c r="AL179" s="25"/>
      <c r="AM179" s="25"/>
    </row>
    <row r="180" ht="14" spans="1:39">
      <c r="A180" s="25"/>
      <c r="B180" s="63"/>
      <c r="C180" s="25"/>
      <c r="D180" s="25"/>
      <c r="E180" s="25"/>
      <c r="F180" s="25"/>
      <c r="G180" s="25"/>
      <c r="H180" s="25"/>
      <c r="I180" s="25"/>
      <c r="J180" s="25"/>
      <c r="K180" s="25"/>
      <c r="L180" s="25"/>
      <c r="M180" s="495"/>
      <c r="N180" s="63"/>
      <c r="O180" s="63"/>
      <c r="P180" s="496"/>
      <c r="Q180" s="497"/>
      <c r="R180" s="63"/>
      <c r="S180" s="498"/>
      <c r="T180" s="63"/>
      <c r="U180" s="63"/>
      <c r="V180" s="499"/>
      <c r="W180" s="499"/>
      <c r="X180" s="63"/>
      <c r="Y180" s="63"/>
      <c r="Z180" s="500"/>
      <c r="AA180" s="63"/>
      <c r="AB180" s="63"/>
      <c r="AC180" s="63"/>
      <c r="AD180" s="63"/>
      <c r="AE180" s="63"/>
      <c r="AF180" s="63"/>
      <c r="AG180" s="63"/>
      <c r="AH180" s="63"/>
      <c r="AI180" s="501"/>
      <c r="AJ180" s="63"/>
      <c r="AK180" s="25"/>
      <c r="AL180" s="25"/>
      <c r="AM180" s="25"/>
    </row>
    <row r="181" ht="14" spans="1:39">
      <c r="A181" s="25"/>
      <c r="B181" s="63"/>
      <c r="C181" s="25"/>
      <c r="D181" s="25"/>
      <c r="E181" s="25"/>
      <c r="F181" s="25"/>
      <c r="G181" s="25"/>
      <c r="H181" s="25"/>
      <c r="I181" s="25"/>
      <c r="J181" s="25"/>
      <c r="K181" s="25"/>
      <c r="L181" s="25"/>
      <c r="M181" s="495"/>
      <c r="N181" s="63"/>
      <c r="O181" s="63"/>
      <c r="P181" s="496"/>
      <c r="Q181" s="497"/>
      <c r="R181" s="63"/>
      <c r="S181" s="498"/>
      <c r="T181" s="63"/>
      <c r="U181" s="63"/>
      <c r="V181" s="499"/>
      <c r="W181" s="499"/>
      <c r="X181" s="63"/>
      <c r="Y181" s="63"/>
      <c r="Z181" s="500"/>
      <c r="AA181" s="63"/>
      <c r="AB181" s="63"/>
      <c r="AC181" s="63"/>
      <c r="AD181" s="63"/>
      <c r="AE181" s="63"/>
      <c r="AF181" s="63"/>
      <c r="AG181" s="63"/>
      <c r="AH181" s="63"/>
      <c r="AI181" s="501"/>
      <c r="AJ181" s="63"/>
      <c r="AK181" s="25"/>
      <c r="AL181" s="25"/>
      <c r="AM181" s="25"/>
    </row>
    <row r="182" ht="14" spans="1:39">
      <c r="A182" s="25"/>
      <c r="B182" s="63"/>
      <c r="C182" s="25"/>
      <c r="D182" s="25"/>
      <c r="E182" s="25"/>
      <c r="F182" s="25"/>
      <c r="G182" s="25"/>
      <c r="H182" s="25"/>
      <c r="I182" s="25"/>
      <c r="J182" s="25"/>
      <c r="K182" s="25"/>
      <c r="L182" s="25"/>
      <c r="M182" s="495"/>
      <c r="N182" s="63"/>
      <c r="O182" s="63"/>
      <c r="P182" s="496"/>
      <c r="Q182" s="497"/>
      <c r="R182" s="63"/>
      <c r="S182" s="498"/>
      <c r="T182" s="63"/>
      <c r="U182" s="63"/>
      <c r="V182" s="499"/>
      <c r="W182" s="499"/>
      <c r="X182" s="63"/>
      <c r="Y182" s="63"/>
      <c r="Z182" s="500"/>
      <c r="AA182" s="63"/>
      <c r="AB182" s="63"/>
      <c r="AC182" s="63"/>
      <c r="AD182" s="63"/>
      <c r="AE182" s="63"/>
      <c r="AF182" s="63"/>
      <c r="AG182" s="63"/>
      <c r="AH182" s="63"/>
      <c r="AI182" s="501"/>
      <c r="AJ182" s="63"/>
      <c r="AK182" s="25"/>
      <c r="AL182" s="25"/>
      <c r="AM182" s="25"/>
    </row>
    <row r="183" ht="14" spans="1:39">
      <c r="A183" s="25"/>
      <c r="B183" s="63"/>
      <c r="C183" s="25"/>
      <c r="D183" s="25"/>
      <c r="E183" s="25"/>
      <c r="F183" s="25"/>
      <c r="G183" s="25"/>
      <c r="H183" s="25"/>
      <c r="I183" s="25"/>
      <c r="J183" s="25"/>
      <c r="K183" s="25"/>
      <c r="L183" s="25"/>
      <c r="M183" s="495"/>
      <c r="N183" s="63"/>
      <c r="O183" s="63"/>
      <c r="P183" s="496"/>
      <c r="Q183" s="497"/>
      <c r="R183" s="63"/>
      <c r="S183" s="498"/>
      <c r="T183" s="63"/>
      <c r="U183" s="63"/>
      <c r="V183" s="499"/>
      <c r="W183" s="499"/>
      <c r="X183" s="63"/>
      <c r="Y183" s="63"/>
      <c r="Z183" s="500"/>
      <c r="AA183" s="63"/>
      <c r="AB183" s="63"/>
      <c r="AC183" s="63"/>
      <c r="AD183" s="63"/>
      <c r="AE183" s="63"/>
      <c r="AF183" s="63"/>
      <c r="AG183" s="63"/>
      <c r="AH183" s="63"/>
      <c r="AI183" s="501"/>
      <c r="AJ183" s="63"/>
      <c r="AK183" s="25"/>
      <c r="AL183" s="25"/>
      <c r="AM183" s="25"/>
    </row>
    <row r="184" ht="14" spans="1:39">
      <c r="A184" s="25"/>
      <c r="B184" s="63"/>
      <c r="C184" s="25"/>
      <c r="D184" s="25"/>
      <c r="E184" s="25"/>
      <c r="F184" s="25"/>
      <c r="G184" s="25"/>
      <c r="H184" s="25"/>
      <c r="I184" s="25"/>
      <c r="J184" s="25"/>
      <c r="K184" s="25"/>
      <c r="L184" s="25"/>
      <c r="M184" s="495"/>
      <c r="N184" s="63"/>
      <c r="O184" s="63"/>
      <c r="P184" s="496"/>
      <c r="Q184" s="497"/>
      <c r="R184" s="63"/>
      <c r="S184" s="498"/>
      <c r="T184" s="63"/>
      <c r="U184" s="63"/>
      <c r="V184" s="499"/>
      <c r="W184" s="499"/>
      <c r="X184" s="63"/>
      <c r="Y184" s="63"/>
      <c r="Z184" s="500"/>
      <c r="AA184" s="63"/>
      <c r="AB184" s="63"/>
      <c r="AC184" s="63"/>
      <c r="AD184" s="63"/>
      <c r="AE184" s="63"/>
      <c r="AF184" s="63"/>
      <c r="AG184" s="63"/>
      <c r="AH184" s="63"/>
      <c r="AI184" s="501"/>
      <c r="AJ184" s="63"/>
      <c r="AK184" s="25"/>
      <c r="AL184" s="25"/>
      <c r="AM184" s="25"/>
    </row>
    <row r="185" ht="14" spans="1:39">
      <c r="A185" s="25"/>
      <c r="B185" s="63"/>
      <c r="C185" s="25"/>
      <c r="D185" s="25"/>
      <c r="E185" s="25"/>
      <c r="F185" s="25"/>
      <c r="G185" s="25"/>
      <c r="H185" s="25"/>
      <c r="I185" s="25"/>
      <c r="J185" s="25"/>
      <c r="K185" s="25"/>
      <c r="L185" s="25"/>
      <c r="M185" s="495"/>
      <c r="N185" s="63"/>
      <c r="O185" s="63"/>
      <c r="P185" s="496"/>
      <c r="Q185" s="497"/>
      <c r="R185" s="63"/>
      <c r="S185" s="498"/>
      <c r="T185" s="63"/>
      <c r="U185" s="63"/>
      <c r="V185" s="499"/>
      <c r="W185" s="499"/>
      <c r="X185" s="63"/>
      <c r="Y185" s="63"/>
      <c r="Z185" s="500"/>
      <c r="AA185" s="63"/>
      <c r="AB185" s="63"/>
      <c r="AC185" s="63"/>
      <c r="AD185" s="63"/>
      <c r="AE185" s="63"/>
      <c r="AF185" s="63"/>
      <c r="AG185" s="63"/>
      <c r="AH185" s="63"/>
      <c r="AI185" s="501"/>
      <c r="AJ185" s="63"/>
      <c r="AK185" s="25"/>
      <c r="AL185" s="25"/>
      <c r="AM185" s="25"/>
    </row>
    <row r="186" ht="14" spans="1:39">
      <c r="A186" s="25"/>
      <c r="B186" s="63"/>
      <c r="C186" s="25"/>
      <c r="D186" s="25"/>
      <c r="E186" s="25"/>
      <c r="F186" s="25"/>
      <c r="G186" s="25"/>
      <c r="H186" s="25"/>
      <c r="I186" s="25"/>
      <c r="J186" s="25"/>
      <c r="K186" s="25"/>
      <c r="L186" s="25"/>
      <c r="M186" s="495"/>
      <c r="N186" s="63"/>
      <c r="O186" s="63"/>
      <c r="P186" s="496"/>
      <c r="Q186" s="497"/>
      <c r="R186" s="63"/>
      <c r="S186" s="498"/>
      <c r="T186" s="63"/>
      <c r="U186" s="63"/>
      <c r="V186" s="499"/>
      <c r="W186" s="499"/>
      <c r="X186" s="63"/>
      <c r="Y186" s="63"/>
      <c r="Z186" s="500"/>
      <c r="AA186" s="63"/>
      <c r="AB186" s="63"/>
      <c r="AC186" s="63"/>
      <c r="AD186" s="63"/>
      <c r="AE186" s="63"/>
      <c r="AF186" s="63"/>
      <c r="AG186" s="63"/>
      <c r="AH186" s="63"/>
      <c r="AI186" s="501"/>
      <c r="AJ186" s="63"/>
      <c r="AK186" s="25"/>
      <c r="AL186" s="25"/>
      <c r="AM186" s="25"/>
    </row>
    <row r="187" ht="14" spans="1:39">
      <c r="A187" s="25"/>
      <c r="B187" s="63"/>
      <c r="C187" s="25"/>
      <c r="D187" s="25"/>
      <c r="E187" s="25"/>
      <c r="F187" s="25"/>
      <c r="G187" s="25"/>
      <c r="H187" s="25"/>
      <c r="I187" s="25"/>
      <c r="J187" s="25"/>
      <c r="K187" s="25"/>
      <c r="L187" s="25"/>
      <c r="M187" s="495"/>
      <c r="N187" s="63"/>
      <c r="O187" s="63"/>
      <c r="P187" s="496"/>
      <c r="Q187" s="497"/>
      <c r="R187" s="63"/>
      <c r="S187" s="498"/>
      <c r="T187" s="63"/>
      <c r="U187" s="63"/>
      <c r="V187" s="499"/>
      <c r="W187" s="499"/>
      <c r="X187" s="63"/>
      <c r="Y187" s="63"/>
      <c r="Z187" s="500"/>
      <c r="AA187" s="63"/>
      <c r="AB187" s="63"/>
      <c r="AC187" s="63"/>
      <c r="AD187" s="63"/>
      <c r="AE187" s="63"/>
      <c r="AF187" s="63"/>
      <c r="AG187" s="63"/>
      <c r="AH187" s="63"/>
      <c r="AI187" s="501"/>
      <c r="AJ187" s="63"/>
      <c r="AK187" s="25"/>
      <c r="AL187" s="25"/>
      <c r="AM187" s="25"/>
    </row>
    <row r="188" ht="14" spans="1:39">
      <c r="A188" s="25"/>
      <c r="B188" s="63"/>
      <c r="C188" s="25"/>
      <c r="D188" s="25"/>
      <c r="E188" s="25"/>
      <c r="F188" s="25"/>
      <c r="G188" s="25"/>
      <c r="H188" s="25"/>
      <c r="I188" s="25"/>
      <c r="J188" s="25"/>
      <c r="K188" s="25"/>
      <c r="L188" s="25"/>
      <c r="M188" s="495"/>
      <c r="N188" s="63"/>
      <c r="O188" s="63"/>
      <c r="P188" s="496"/>
      <c r="Q188" s="497"/>
      <c r="R188" s="63"/>
      <c r="S188" s="498"/>
      <c r="T188" s="63"/>
      <c r="U188" s="63"/>
      <c r="V188" s="499"/>
      <c r="W188" s="499"/>
      <c r="X188" s="63"/>
      <c r="Y188" s="63"/>
      <c r="Z188" s="500"/>
      <c r="AA188" s="63"/>
      <c r="AB188" s="63"/>
      <c r="AC188" s="63"/>
      <c r="AD188" s="63"/>
      <c r="AE188" s="63"/>
      <c r="AF188" s="63"/>
      <c r="AG188" s="63"/>
      <c r="AH188" s="63"/>
      <c r="AI188" s="501"/>
      <c r="AJ188" s="63"/>
      <c r="AK188" s="25"/>
      <c r="AL188" s="25"/>
      <c r="AM188" s="25"/>
    </row>
    <row r="189" ht="14" spans="1:39">
      <c r="A189" s="25"/>
      <c r="B189" s="63"/>
      <c r="C189" s="25"/>
      <c r="D189" s="25"/>
      <c r="E189" s="25"/>
      <c r="F189" s="25"/>
      <c r="G189" s="25"/>
      <c r="H189" s="25"/>
      <c r="I189" s="25"/>
      <c r="J189" s="25"/>
      <c r="K189" s="25"/>
      <c r="L189" s="25"/>
      <c r="M189" s="495"/>
      <c r="N189" s="63"/>
      <c r="O189" s="63"/>
      <c r="P189" s="496"/>
      <c r="Q189" s="497"/>
      <c r="R189" s="63"/>
      <c r="S189" s="498"/>
      <c r="T189" s="63"/>
      <c r="U189" s="63"/>
      <c r="V189" s="499"/>
      <c r="W189" s="499"/>
      <c r="X189" s="63"/>
      <c r="Y189" s="63"/>
      <c r="Z189" s="500"/>
      <c r="AA189" s="63"/>
      <c r="AB189" s="63"/>
      <c r="AC189" s="63"/>
      <c r="AD189" s="63"/>
      <c r="AE189" s="63"/>
      <c r="AF189" s="63"/>
      <c r="AG189" s="63"/>
      <c r="AH189" s="63"/>
      <c r="AI189" s="501"/>
      <c r="AJ189" s="63"/>
      <c r="AK189" s="25"/>
      <c r="AL189" s="25"/>
      <c r="AM189" s="25"/>
    </row>
    <row r="190" ht="14" spans="1:39">
      <c r="A190" s="25"/>
      <c r="B190" s="63"/>
      <c r="C190" s="25"/>
      <c r="D190" s="25"/>
      <c r="E190" s="25"/>
      <c r="F190" s="25"/>
      <c r="G190" s="25"/>
      <c r="H190" s="25"/>
      <c r="I190" s="25"/>
      <c r="J190" s="25"/>
      <c r="K190" s="25"/>
      <c r="L190" s="25"/>
      <c r="M190" s="495"/>
      <c r="N190" s="63"/>
      <c r="O190" s="63"/>
      <c r="P190" s="496"/>
      <c r="Q190" s="497"/>
      <c r="R190" s="63"/>
      <c r="S190" s="498"/>
      <c r="T190" s="63"/>
      <c r="U190" s="63"/>
      <c r="V190" s="499"/>
      <c r="W190" s="499"/>
      <c r="X190" s="63"/>
      <c r="Y190" s="63"/>
      <c r="Z190" s="500"/>
      <c r="AA190" s="63"/>
      <c r="AB190" s="63"/>
      <c r="AC190" s="63"/>
      <c r="AD190" s="63"/>
      <c r="AE190" s="63"/>
      <c r="AF190" s="63"/>
      <c r="AG190" s="63"/>
      <c r="AH190" s="63"/>
      <c r="AI190" s="501"/>
      <c r="AJ190" s="63"/>
      <c r="AK190" s="25"/>
      <c r="AL190" s="25"/>
      <c r="AM190" s="25"/>
    </row>
    <row r="191" ht="14" spans="1:39">
      <c r="A191" s="25"/>
      <c r="B191" s="63"/>
      <c r="C191" s="25"/>
      <c r="D191" s="25"/>
      <c r="E191" s="25"/>
      <c r="F191" s="25"/>
      <c r="G191" s="25"/>
      <c r="H191" s="25"/>
      <c r="I191" s="25"/>
      <c r="J191" s="25"/>
      <c r="K191" s="25"/>
      <c r="L191" s="25"/>
      <c r="M191" s="495"/>
      <c r="N191" s="63"/>
      <c r="O191" s="63"/>
      <c r="P191" s="496"/>
      <c r="Q191" s="497"/>
      <c r="R191" s="63"/>
      <c r="S191" s="498"/>
      <c r="T191" s="63"/>
      <c r="U191" s="63"/>
      <c r="V191" s="499"/>
      <c r="W191" s="499"/>
      <c r="X191" s="63"/>
      <c r="Y191" s="63"/>
      <c r="Z191" s="500"/>
      <c r="AA191" s="63"/>
      <c r="AB191" s="63"/>
      <c r="AC191" s="63"/>
      <c r="AD191" s="63"/>
      <c r="AE191" s="63"/>
      <c r="AF191" s="63"/>
      <c r="AG191" s="63"/>
      <c r="AH191" s="63"/>
      <c r="AI191" s="501"/>
      <c r="AJ191" s="63"/>
      <c r="AK191" s="25"/>
      <c r="AL191" s="25"/>
      <c r="AM191" s="25"/>
    </row>
    <row r="192" ht="14" spans="1:39">
      <c r="A192" s="25"/>
      <c r="B192" s="63"/>
      <c r="C192" s="25"/>
      <c r="D192" s="25"/>
      <c r="E192" s="25"/>
      <c r="F192" s="25"/>
      <c r="G192" s="25"/>
      <c r="H192" s="25"/>
      <c r="I192" s="25"/>
      <c r="J192" s="25"/>
      <c r="K192" s="25"/>
      <c r="L192" s="25"/>
      <c r="M192" s="495"/>
      <c r="N192" s="63"/>
      <c r="O192" s="63"/>
      <c r="P192" s="496"/>
      <c r="Q192" s="497"/>
      <c r="R192" s="63"/>
      <c r="S192" s="498"/>
      <c r="T192" s="63"/>
      <c r="U192" s="63"/>
      <c r="V192" s="499"/>
      <c r="W192" s="499"/>
      <c r="X192" s="63"/>
      <c r="Y192" s="63"/>
      <c r="Z192" s="500"/>
      <c r="AA192" s="63"/>
      <c r="AB192" s="63"/>
      <c r="AC192" s="63"/>
      <c r="AD192" s="63"/>
      <c r="AE192" s="63"/>
      <c r="AF192" s="63"/>
      <c r="AG192" s="63"/>
      <c r="AH192" s="63"/>
      <c r="AI192" s="501"/>
      <c r="AJ192" s="63"/>
      <c r="AK192" s="25"/>
      <c r="AL192" s="25"/>
      <c r="AM192" s="25"/>
    </row>
    <row r="193" ht="14" spans="1:39">
      <c r="A193" s="25"/>
      <c r="B193" s="63"/>
      <c r="C193" s="25"/>
      <c r="D193" s="25"/>
      <c r="E193" s="25"/>
      <c r="F193" s="25"/>
      <c r="G193" s="25"/>
      <c r="H193" s="25"/>
      <c r="I193" s="25"/>
      <c r="J193" s="25"/>
      <c r="K193" s="25"/>
      <c r="L193" s="25"/>
      <c r="M193" s="495"/>
      <c r="N193" s="63"/>
      <c r="O193" s="63"/>
      <c r="P193" s="496"/>
      <c r="Q193" s="497"/>
      <c r="R193" s="63"/>
      <c r="S193" s="498"/>
      <c r="T193" s="63"/>
      <c r="U193" s="63"/>
      <c r="V193" s="499"/>
      <c r="W193" s="499"/>
      <c r="X193" s="63"/>
      <c r="Y193" s="63"/>
      <c r="Z193" s="500"/>
      <c r="AA193" s="63"/>
      <c r="AB193" s="63"/>
      <c r="AC193" s="63"/>
      <c r="AD193" s="63"/>
      <c r="AE193" s="63"/>
      <c r="AF193" s="63"/>
      <c r="AG193" s="63"/>
      <c r="AH193" s="63"/>
      <c r="AI193" s="501"/>
      <c r="AJ193" s="63"/>
      <c r="AK193" s="25"/>
      <c r="AL193" s="25"/>
      <c r="AM193" s="25"/>
    </row>
    <row r="194" ht="14" spans="1:39">
      <c r="A194" s="25"/>
      <c r="B194" s="63"/>
      <c r="C194" s="25"/>
      <c r="D194" s="25"/>
      <c r="E194" s="25"/>
      <c r="F194" s="25"/>
      <c r="G194" s="25"/>
      <c r="H194" s="25"/>
      <c r="I194" s="25"/>
      <c r="J194" s="25"/>
      <c r="K194" s="25"/>
      <c r="L194" s="25"/>
      <c r="M194" s="495"/>
      <c r="N194" s="63"/>
      <c r="O194" s="63"/>
      <c r="P194" s="496"/>
      <c r="Q194" s="497"/>
      <c r="R194" s="63"/>
      <c r="S194" s="498"/>
      <c r="T194" s="63"/>
      <c r="U194" s="63"/>
      <c r="V194" s="499"/>
      <c r="W194" s="499"/>
      <c r="X194" s="63"/>
      <c r="Y194" s="63"/>
      <c r="Z194" s="500"/>
      <c r="AA194" s="63"/>
      <c r="AB194" s="63"/>
      <c r="AC194" s="63"/>
      <c r="AD194" s="63"/>
      <c r="AE194" s="63"/>
      <c r="AF194" s="63"/>
      <c r="AG194" s="63"/>
      <c r="AH194" s="63"/>
      <c r="AI194" s="501"/>
      <c r="AJ194" s="63"/>
      <c r="AK194" s="25"/>
      <c r="AL194" s="25"/>
      <c r="AM194" s="25"/>
    </row>
    <row r="195" ht="14" spans="1:39">
      <c r="A195" s="25"/>
      <c r="B195" s="63"/>
      <c r="C195" s="25"/>
      <c r="D195" s="25"/>
      <c r="E195" s="25"/>
      <c r="F195" s="25"/>
      <c r="G195" s="25"/>
      <c r="H195" s="25"/>
      <c r="I195" s="25"/>
      <c r="J195" s="25"/>
      <c r="K195" s="25"/>
      <c r="L195" s="25"/>
      <c r="M195" s="495"/>
      <c r="N195" s="63"/>
      <c r="O195" s="63"/>
      <c r="P195" s="496"/>
      <c r="Q195" s="497"/>
      <c r="R195" s="63"/>
      <c r="S195" s="498"/>
      <c r="T195" s="63"/>
      <c r="U195" s="63"/>
      <c r="V195" s="499"/>
      <c r="W195" s="499"/>
      <c r="X195" s="63"/>
      <c r="Y195" s="63"/>
      <c r="Z195" s="500"/>
      <c r="AA195" s="63"/>
      <c r="AB195" s="63"/>
      <c r="AC195" s="63"/>
      <c r="AD195" s="63"/>
      <c r="AE195" s="63"/>
      <c r="AF195" s="63"/>
      <c r="AG195" s="63"/>
      <c r="AH195" s="63"/>
      <c r="AI195" s="501"/>
      <c r="AJ195" s="63"/>
      <c r="AK195" s="25"/>
      <c r="AL195" s="25"/>
      <c r="AM195" s="25"/>
    </row>
    <row r="196" ht="14" spans="1:39">
      <c r="A196" s="25"/>
      <c r="B196" s="63"/>
      <c r="C196" s="25"/>
      <c r="D196" s="25"/>
      <c r="E196" s="25"/>
      <c r="F196" s="25"/>
      <c r="G196" s="25"/>
      <c r="H196" s="25"/>
      <c r="I196" s="25"/>
      <c r="J196" s="25"/>
      <c r="K196" s="25"/>
      <c r="L196" s="25"/>
      <c r="M196" s="495"/>
      <c r="N196" s="63"/>
      <c r="O196" s="63"/>
      <c r="P196" s="496"/>
      <c r="Q196" s="497"/>
      <c r="R196" s="63"/>
      <c r="S196" s="498"/>
      <c r="T196" s="63"/>
      <c r="U196" s="63"/>
      <c r="V196" s="499"/>
      <c r="W196" s="499"/>
      <c r="X196" s="63"/>
      <c r="Y196" s="63"/>
      <c r="Z196" s="500"/>
      <c r="AA196" s="63"/>
      <c r="AB196" s="63"/>
      <c r="AC196" s="63"/>
      <c r="AD196" s="63"/>
      <c r="AE196" s="63"/>
      <c r="AF196" s="63"/>
      <c r="AG196" s="63"/>
      <c r="AH196" s="63"/>
      <c r="AI196" s="501"/>
      <c r="AJ196" s="63"/>
      <c r="AK196" s="25"/>
      <c r="AL196" s="25"/>
      <c r="AM196" s="25"/>
    </row>
    <row r="197" ht="14" spans="1:39">
      <c r="A197" s="25"/>
      <c r="B197" s="63"/>
      <c r="C197" s="25"/>
      <c r="D197" s="25"/>
      <c r="E197" s="25"/>
      <c r="F197" s="25"/>
      <c r="G197" s="25"/>
      <c r="H197" s="25"/>
      <c r="I197" s="25"/>
      <c r="J197" s="25"/>
      <c r="K197" s="25"/>
      <c r="L197" s="25"/>
      <c r="M197" s="495"/>
      <c r="N197" s="63"/>
      <c r="O197" s="63"/>
      <c r="P197" s="496"/>
      <c r="Q197" s="497"/>
      <c r="R197" s="63"/>
      <c r="S197" s="498"/>
      <c r="T197" s="63"/>
      <c r="U197" s="63"/>
      <c r="V197" s="499"/>
      <c r="W197" s="499"/>
      <c r="X197" s="63"/>
      <c r="Y197" s="63"/>
      <c r="Z197" s="500"/>
      <c r="AA197" s="63"/>
      <c r="AB197" s="63"/>
      <c r="AC197" s="63"/>
      <c r="AD197" s="63"/>
      <c r="AE197" s="63"/>
      <c r="AF197" s="63"/>
      <c r="AG197" s="63"/>
      <c r="AH197" s="63"/>
      <c r="AI197" s="501"/>
      <c r="AJ197" s="63"/>
      <c r="AK197" s="25"/>
      <c r="AL197" s="25"/>
      <c r="AM197" s="25"/>
    </row>
    <row r="198" ht="14" spans="1:39">
      <c r="A198" s="25"/>
      <c r="B198" s="63"/>
      <c r="C198" s="25"/>
      <c r="D198" s="25"/>
      <c r="E198" s="25"/>
      <c r="F198" s="25"/>
      <c r="G198" s="25"/>
      <c r="H198" s="25"/>
      <c r="I198" s="25"/>
      <c r="J198" s="25"/>
      <c r="K198" s="25"/>
      <c r="L198" s="25"/>
      <c r="M198" s="495"/>
      <c r="N198" s="63"/>
      <c r="O198" s="63"/>
      <c r="P198" s="496"/>
      <c r="Q198" s="497"/>
      <c r="R198" s="63"/>
      <c r="S198" s="498"/>
      <c r="T198" s="63"/>
      <c r="U198" s="63"/>
      <c r="V198" s="499"/>
      <c r="W198" s="499"/>
      <c r="X198" s="63"/>
      <c r="Y198" s="63"/>
      <c r="Z198" s="500"/>
      <c r="AA198" s="63"/>
      <c r="AB198" s="63"/>
      <c r="AC198" s="63"/>
      <c r="AD198" s="63"/>
      <c r="AE198" s="63"/>
      <c r="AF198" s="63"/>
      <c r="AG198" s="63"/>
      <c r="AH198" s="63"/>
      <c r="AI198" s="501"/>
      <c r="AJ198" s="63"/>
      <c r="AK198" s="25"/>
      <c r="AL198" s="25"/>
      <c r="AM198" s="25"/>
    </row>
    <row r="199" ht="14" spans="1:39">
      <c r="A199" s="25"/>
      <c r="B199" s="63"/>
      <c r="C199" s="25"/>
      <c r="D199" s="25"/>
      <c r="E199" s="25"/>
      <c r="F199" s="25"/>
      <c r="G199" s="25"/>
      <c r="H199" s="25"/>
      <c r="I199" s="25"/>
      <c r="J199" s="25"/>
      <c r="K199" s="25"/>
      <c r="L199" s="25"/>
      <c r="M199" s="495"/>
      <c r="N199" s="63"/>
      <c r="O199" s="63"/>
      <c r="P199" s="496"/>
      <c r="Q199" s="497"/>
      <c r="R199" s="63"/>
      <c r="S199" s="498"/>
      <c r="T199" s="63"/>
      <c r="U199" s="63"/>
      <c r="V199" s="499"/>
      <c r="W199" s="499"/>
      <c r="X199" s="63"/>
      <c r="Y199" s="63"/>
      <c r="Z199" s="500"/>
      <c r="AA199" s="63"/>
      <c r="AB199" s="63"/>
      <c r="AC199" s="63"/>
      <c r="AD199" s="63"/>
      <c r="AE199" s="63"/>
      <c r="AF199" s="63"/>
      <c r="AG199" s="63"/>
      <c r="AH199" s="63"/>
      <c r="AI199" s="501"/>
      <c r="AJ199" s="63"/>
      <c r="AK199" s="25"/>
      <c r="AL199" s="25"/>
      <c r="AM199" s="25"/>
    </row>
    <row r="200" ht="14" spans="1:39">
      <c r="A200" s="25"/>
      <c r="B200" s="63"/>
      <c r="C200" s="25"/>
      <c r="D200" s="25"/>
      <c r="E200" s="25"/>
      <c r="F200" s="25"/>
      <c r="G200" s="25"/>
      <c r="H200" s="25"/>
      <c r="I200" s="25"/>
      <c r="J200" s="25"/>
      <c r="K200" s="25"/>
      <c r="L200" s="25"/>
      <c r="M200" s="495"/>
      <c r="N200" s="63"/>
      <c r="O200" s="63"/>
      <c r="P200" s="496"/>
      <c r="Q200" s="497"/>
      <c r="R200" s="63"/>
      <c r="S200" s="498"/>
      <c r="T200" s="63"/>
      <c r="U200" s="63"/>
      <c r="V200" s="499"/>
      <c r="W200" s="499"/>
      <c r="X200" s="63"/>
      <c r="Y200" s="63"/>
      <c r="Z200" s="500"/>
      <c r="AA200" s="63"/>
      <c r="AB200" s="63"/>
      <c r="AC200" s="63"/>
      <c r="AD200" s="63"/>
      <c r="AE200" s="63"/>
      <c r="AF200" s="63"/>
      <c r="AG200" s="63"/>
      <c r="AH200" s="63"/>
      <c r="AI200" s="501"/>
      <c r="AJ200" s="63"/>
      <c r="AK200" s="25"/>
      <c r="AL200" s="25"/>
      <c r="AM200" s="25"/>
    </row>
    <row r="201" ht="14" spans="1:39">
      <c r="A201" s="25"/>
      <c r="B201" s="63"/>
      <c r="C201" s="25"/>
      <c r="D201" s="25"/>
      <c r="E201" s="25"/>
      <c r="F201" s="25"/>
      <c r="G201" s="25"/>
      <c r="H201" s="25"/>
      <c r="I201" s="25"/>
      <c r="J201" s="25"/>
      <c r="K201" s="25"/>
      <c r="L201" s="25"/>
      <c r="M201" s="495"/>
      <c r="N201" s="63"/>
      <c r="O201" s="63"/>
      <c r="P201" s="496"/>
      <c r="Q201" s="497"/>
      <c r="R201" s="63"/>
      <c r="S201" s="498"/>
      <c r="T201" s="63"/>
      <c r="U201" s="63"/>
      <c r="V201" s="499"/>
      <c r="W201" s="499"/>
      <c r="X201" s="63"/>
      <c r="Y201" s="63"/>
      <c r="Z201" s="500"/>
      <c r="AA201" s="63"/>
      <c r="AB201" s="63"/>
      <c r="AC201" s="63"/>
      <c r="AD201" s="63"/>
      <c r="AE201" s="63"/>
      <c r="AF201" s="63"/>
      <c r="AG201" s="63"/>
      <c r="AH201" s="63"/>
      <c r="AI201" s="501"/>
      <c r="AJ201" s="63"/>
      <c r="AK201" s="25"/>
      <c r="AL201" s="25"/>
      <c r="AM201" s="25"/>
    </row>
    <row r="202" ht="14" spans="1:39">
      <c r="A202" s="25"/>
      <c r="B202" s="63"/>
      <c r="C202" s="25"/>
      <c r="D202" s="25"/>
      <c r="E202" s="25"/>
      <c r="F202" s="25"/>
      <c r="G202" s="25"/>
      <c r="H202" s="25"/>
      <c r="I202" s="25"/>
      <c r="J202" s="25"/>
      <c r="K202" s="25"/>
      <c r="L202" s="25"/>
      <c r="M202" s="495"/>
      <c r="N202" s="63"/>
      <c r="O202" s="63"/>
      <c r="P202" s="496"/>
      <c r="Q202" s="497"/>
      <c r="R202" s="63"/>
      <c r="S202" s="498"/>
      <c r="T202" s="63"/>
      <c r="U202" s="63"/>
      <c r="V202" s="499"/>
      <c r="W202" s="499"/>
      <c r="X202" s="63"/>
      <c r="Y202" s="63"/>
      <c r="Z202" s="500"/>
      <c r="AA202" s="63"/>
      <c r="AB202" s="63"/>
      <c r="AC202" s="63"/>
      <c r="AD202" s="63"/>
      <c r="AE202" s="63"/>
      <c r="AF202" s="63"/>
      <c r="AG202" s="63"/>
      <c r="AH202" s="63"/>
      <c r="AI202" s="501"/>
      <c r="AJ202" s="63"/>
      <c r="AK202" s="25"/>
      <c r="AL202" s="25"/>
      <c r="AM202" s="25"/>
    </row>
    <row r="203" ht="14" spans="1:39">
      <c r="A203" s="25"/>
      <c r="B203" s="63"/>
      <c r="C203" s="25"/>
      <c r="D203" s="25"/>
      <c r="E203" s="25"/>
      <c r="F203" s="25"/>
      <c r="G203" s="25"/>
      <c r="H203" s="25"/>
      <c r="I203" s="25"/>
      <c r="J203" s="25"/>
      <c r="K203" s="25"/>
      <c r="L203" s="25"/>
      <c r="M203" s="495"/>
      <c r="N203" s="63"/>
      <c r="O203" s="63"/>
      <c r="P203" s="496"/>
      <c r="Q203" s="497"/>
      <c r="R203" s="63"/>
      <c r="S203" s="498"/>
      <c r="T203" s="63"/>
      <c r="U203" s="63"/>
      <c r="V203" s="499"/>
      <c r="W203" s="499"/>
      <c r="X203" s="63"/>
      <c r="Y203" s="63"/>
      <c r="Z203" s="500"/>
      <c r="AA203" s="63"/>
      <c r="AB203" s="63"/>
      <c r="AC203" s="63"/>
      <c r="AD203" s="63"/>
      <c r="AE203" s="63"/>
      <c r="AF203" s="63"/>
      <c r="AG203" s="63"/>
      <c r="AH203" s="63"/>
      <c r="AI203" s="501"/>
      <c r="AJ203" s="63"/>
      <c r="AK203" s="25"/>
      <c r="AL203" s="25"/>
      <c r="AM203" s="25"/>
    </row>
    <row r="204" ht="14" spans="1:39">
      <c r="A204" s="25"/>
      <c r="B204" s="63"/>
      <c r="C204" s="25"/>
      <c r="D204" s="25"/>
      <c r="E204" s="25"/>
      <c r="F204" s="25"/>
      <c r="G204" s="25"/>
      <c r="H204" s="25"/>
      <c r="I204" s="25"/>
      <c r="J204" s="25"/>
      <c r="K204" s="25"/>
      <c r="L204" s="25"/>
      <c r="M204" s="495"/>
      <c r="N204" s="63"/>
      <c r="O204" s="63"/>
      <c r="P204" s="496"/>
      <c r="Q204" s="497"/>
      <c r="R204" s="63"/>
      <c r="S204" s="498"/>
      <c r="T204" s="63"/>
      <c r="U204" s="63"/>
      <c r="V204" s="499"/>
      <c r="W204" s="499"/>
      <c r="X204" s="63"/>
      <c r="Y204" s="63"/>
      <c r="Z204" s="500"/>
      <c r="AA204" s="63"/>
      <c r="AB204" s="63"/>
      <c r="AC204" s="63"/>
      <c r="AD204" s="63"/>
      <c r="AE204" s="63"/>
      <c r="AF204" s="63"/>
      <c r="AG204" s="63"/>
      <c r="AH204" s="63"/>
      <c r="AI204" s="501"/>
      <c r="AJ204" s="63"/>
      <c r="AK204" s="25"/>
      <c r="AL204" s="25"/>
      <c r="AM204" s="25"/>
    </row>
    <row r="205" ht="14" spans="1:39">
      <c r="A205" s="25"/>
      <c r="B205" s="63"/>
      <c r="C205" s="25"/>
      <c r="D205" s="25"/>
      <c r="E205" s="25"/>
      <c r="F205" s="25"/>
      <c r="G205" s="25"/>
      <c r="H205" s="25"/>
      <c r="I205" s="25"/>
      <c r="J205" s="25"/>
      <c r="K205" s="25"/>
      <c r="L205" s="25"/>
      <c r="M205" s="495"/>
      <c r="N205" s="63"/>
      <c r="O205" s="63"/>
      <c r="P205" s="496"/>
      <c r="Q205" s="497"/>
      <c r="R205" s="63"/>
      <c r="S205" s="498"/>
      <c r="T205" s="63"/>
      <c r="U205" s="63"/>
      <c r="V205" s="499"/>
      <c r="W205" s="499"/>
      <c r="X205" s="63"/>
      <c r="Y205" s="63"/>
      <c r="Z205" s="500"/>
      <c r="AA205" s="63"/>
      <c r="AB205" s="63"/>
      <c r="AC205" s="63"/>
      <c r="AD205" s="63"/>
      <c r="AE205" s="63"/>
      <c r="AF205" s="63"/>
      <c r="AG205" s="63"/>
      <c r="AH205" s="63"/>
      <c r="AI205" s="501"/>
      <c r="AJ205" s="63"/>
      <c r="AK205" s="25"/>
      <c r="AL205" s="25"/>
      <c r="AM205" s="25"/>
    </row>
    <row r="206" ht="14" spans="1:39">
      <c r="A206" s="25"/>
      <c r="B206" s="63"/>
      <c r="C206" s="25"/>
      <c r="D206" s="25"/>
      <c r="E206" s="25"/>
      <c r="F206" s="25"/>
      <c r="G206" s="25"/>
      <c r="H206" s="25"/>
      <c r="I206" s="25"/>
      <c r="J206" s="25"/>
      <c r="K206" s="25"/>
      <c r="L206" s="25"/>
      <c r="M206" s="495"/>
      <c r="N206" s="63"/>
      <c r="O206" s="63"/>
      <c r="P206" s="496"/>
      <c r="Q206" s="497"/>
      <c r="R206" s="63"/>
      <c r="S206" s="498"/>
      <c r="T206" s="63"/>
      <c r="U206" s="63"/>
      <c r="V206" s="499"/>
      <c r="W206" s="499"/>
      <c r="X206" s="63"/>
      <c r="Y206" s="63"/>
      <c r="Z206" s="500"/>
      <c r="AA206" s="63"/>
      <c r="AB206" s="63"/>
      <c r="AC206" s="63"/>
      <c r="AD206" s="63"/>
      <c r="AE206" s="63"/>
      <c r="AF206" s="63"/>
      <c r="AG206" s="63"/>
      <c r="AH206" s="63"/>
      <c r="AI206" s="501"/>
      <c r="AJ206" s="63"/>
      <c r="AK206" s="25"/>
      <c r="AL206" s="25"/>
      <c r="AM206" s="25"/>
    </row>
    <row r="207" ht="14" spans="1:39">
      <c r="A207" s="25"/>
      <c r="B207" s="63"/>
      <c r="C207" s="25"/>
      <c r="D207" s="25"/>
      <c r="E207" s="25"/>
      <c r="F207" s="25"/>
      <c r="G207" s="25"/>
      <c r="H207" s="25"/>
      <c r="I207" s="25"/>
      <c r="J207" s="25"/>
      <c r="K207" s="25"/>
      <c r="L207" s="25"/>
      <c r="M207" s="495"/>
      <c r="N207" s="63"/>
      <c r="O207" s="63"/>
      <c r="P207" s="496"/>
      <c r="Q207" s="497"/>
      <c r="R207" s="63"/>
      <c r="S207" s="498"/>
      <c r="T207" s="63"/>
      <c r="U207" s="63"/>
      <c r="V207" s="499"/>
      <c r="W207" s="499"/>
      <c r="X207" s="63"/>
      <c r="Y207" s="63"/>
      <c r="Z207" s="500"/>
      <c r="AA207" s="63"/>
      <c r="AB207" s="63"/>
      <c r="AC207" s="63"/>
      <c r="AD207" s="63"/>
      <c r="AE207" s="63"/>
      <c r="AF207" s="63"/>
      <c r="AG207" s="63"/>
      <c r="AH207" s="63"/>
      <c r="AI207" s="501"/>
      <c r="AJ207" s="63"/>
      <c r="AK207" s="25"/>
      <c r="AL207" s="25"/>
      <c r="AM207" s="25"/>
    </row>
    <row r="208" ht="14" spans="1:39">
      <c r="A208" s="25"/>
      <c r="B208" s="63"/>
      <c r="C208" s="25"/>
      <c r="D208" s="25"/>
      <c r="E208" s="25"/>
      <c r="F208" s="25"/>
      <c r="G208" s="25"/>
      <c r="H208" s="25"/>
      <c r="I208" s="25"/>
      <c r="J208" s="25"/>
      <c r="K208" s="25"/>
      <c r="L208" s="25"/>
      <c r="M208" s="495"/>
      <c r="N208" s="63"/>
      <c r="O208" s="63"/>
      <c r="P208" s="496"/>
      <c r="Q208" s="497"/>
      <c r="R208" s="63"/>
      <c r="S208" s="498"/>
      <c r="T208" s="63"/>
      <c r="U208" s="63"/>
      <c r="V208" s="499"/>
      <c r="W208" s="499"/>
      <c r="X208" s="63"/>
      <c r="Y208" s="63"/>
      <c r="Z208" s="500"/>
      <c r="AA208" s="63"/>
      <c r="AB208" s="63"/>
      <c r="AC208" s="63"/>
      <c r="AD208" s="63"/>
      <c r="AE208" s="63"/>
      <c r="AF208" s="63"/>
      <c r="AG208" s="63"/>
      <c r="AH208" s="63"/>
      <c r="AI208" s="501"/>
      <c r="AJ208" s="63"/>
      <c r="AK208" s="25"/>
      <c r="AL208" s="25"/>
      <c r="AM208" s="25"/>
    </row>
    <row r="209" ht="14" spans="1:39">
      <c r="A209" s="25"/>
      <c r="B209" s="63"/>
      <c r="C209" s="25"/>
      <c r="D209" s="25"/>
      <c r="E209" s="25"/>
      <c r="F209" s="25"/>
      <c r="G209" s="25"/>
      <c r="H209" s="25"/>
      <c r="I209" s="25"/>
      <c r="J209" s="25"/>
      <c r="K209" s="25"/>
      <c r="L209" s="25"/>
      <c r="M209" s="495"/>
      <c r="N209" s="63"/>
      <c r="O209" s="63"/>
      <c r="P209" s="496"/>
      <c r="Q209" s="497"/>
      <c r="R209" s="63"/>
      <c r="S209" s="498"/>
      <c r="T209" s="63"/>
      <c r="U209" s="63"/>
      <c r="V209" s="499"/>
      <c r="W209" s="499"/>
      <c r="X209" s="63"/>
      <c r="Y209" s="63"/>
      <c r="Z209" s="500"/>
      <c r="AA209" s="63"/>
      <c r="AB209" s="63"/>
      <c r="AC209" s="63"/>
      <c r="AD209" s="63"/>
      <c r="AE209" s="63"/>
      <c r="AF209" s="63"/>
      <c r="AG209" s="63"/>
      <c r="AH209" s="63"/>
      <c r="AI209" s="501"/>
      <c r="AJ209" s="63"/>
      <c r="AK209" s="25"/>
      <c r="AL209" s="25"/>
      <c r="AM209" s="25"/>
    </row>
    <row r="210" ht="14" spans="1:39">
      <c r="A210" s="25"/>
      <c r="B210" s="63"/>
      <c r="C210" s="25"/>
      <c r="D210" s="25"/>
      <c r="E210" s="25"/>
      <c r="F210" s="25"/>
      <c r="G210" s="25"/>
      <c r="H210" s="25"/>
      <c r="I210" s="25"/>
      <c r="J210" s="25"/>
      <c r="K210" s="25"/>
      <c r="L210" s="25"/>
      <c r="M210" s="495"/>
      <c r="N210" s="63"/>
      <c r="O210" s="63"/>
      <c r="P210" s="496"/>
      <c r="Q210" s="497"/>
      <c r="R210" s="63"/>
      <c r="S210" s="498"/>
      <c r="T210" s="63"/>
      <c r="U210" s="63"/>
      <c r="V210" s="499"/>
      <c r="W210" s="499"/>
      <c r="X210" s="63"/>
      <c r="Y210" s="63"/>
      <c r="Z210" s="500"/>
      <c r="AA210" s="63"/>
      <c r="AB210" s="63"/>
      <c r="AC210" s="63"/>
      <c r="AD210" s="63"/>
      <c r="AE210" s="63"/>
      <c r="AF210" s="63"/>
      <c r="AG210" s="63"/>
      <c r="AH210" s="63"/>
      <c r="AI210" s="501"/>
      <c r="AJ210" s="63"/>
      <c r="AK210" s="25"/>
      <c r="AL210" s="25"/>
      <c r="AM210" s="25"/>
    </row>
    <row r="211" ht="14" spans="1:39">
      <c r="A211" s="25"/>
      <c r="B211" s="63"/>
      <c r="C211" s="25"/>
      <c r="D211" s="25"/>
      <c r="E211" s="25"/>
      <c r="F211" s="25"/>
      <c r="G211" s="25"/>
      <c r="H211" s="25"/>
      <c r="I211" s="25"/>
      <c r="J211" s="25"/>
      <c r="K211" s="25"/>
      <c r="L211" s="25"/>
      <c r="M211" s="495"/>
      <c r="N211" s="63"/>
      <c r="O211" s="63"/>
      <c r="P211" s="496"/>
      <c r="Q211" s="497"/>
      <c r="R211" s="63"/>
      <c r="S211" s="498"/>
      <c r="T211" s="63"/>
      <c r="U211" s="63"/>
      <c r="V211" s="499"/>
      <c r="W211" s="499"/>
      <c r="X211" s="63"/>
      <c r="Y211" s="63"/>
      <c r="Z211" s="500"/>
      <c r="AA211" s="63"/>
      <c r="AB211" s="63"/>
      <c r="AC211" s="63"/>
      <c r="AD211" s="63"/>
      <c r="AE211" s="63"/>
      <c r="AF211" s="63"/>
      <c r="AG211" s="63"/>
      <c r="AH211" s="63"/>
      <c r="AI211" s="501"/>
      <c r="AJ211" s="63"/>
      <c r="AK211" s="25"/>
      <c r="AL211" s="25"/>
      <c r="AM211" s="25"/>
    </row>
    <row r="212" ht="14" spans="1:39">
      <c r="A212" s="25"/>
      <c r="B212" s="63"/>
      <c r="C212" s="25"/>
      <c r="D212" s="25"/>
      <c r="E212" s="25"/>
      <c r="F212" s="25"/>
      <c r="G212" s="25"/>
      <c r="H212" s="25"/>
      <c r="I212" s="25"/>
      <c r="J212" s="25"/>
      <c r="K212" s="25"/>
      <c r="L212" s="25"/>
      <c r="M212" s="495"/>
      <c r="N212" s="63"/>
      <c r="O212" s="63"/>
      <c r="P212" s="496"/>
      <c r="Q212" s="497"/>
      <c r="R212" s="63"/>
      <c r="S212" s="498"/>
      <c r="T212" s="63"/>
      <c r="U212" s="63"/>
      <c r="V212" s="499"/>
      <c r="W212" s="499"/>
      <c r="X212" s="63"/>
      <c r="Y212" s="63"/>
      <c r="Z212" s="500"/>
      <c r="AA212" s="63"/>
      <c r="AB212" s="63"/>
      <c r="AC212" s="63"/>
      <c r="AD212" s="63"/>
      <c r="AE212" s="63"/>
      <c r="AF212" s="63"/>
      <c r="AG212" s="63"/>
      <c r="AH212" s="63"/>
      <c r="AI212" s="501"/>
      <c r="AJ212" s="63"/>
      <c r="AK212" s="25"/>
      <c r="AL212" s="25"/>
      <c r="AM212" s="25"/>
    </row>
    <row r="213" ht="14" spans="1:39">
      <c r="A213" s="25"/>
      <c r="B213" s="63"/>
      <c r="C213" s="25"/>
      <c r="D213" s="25"/>
      <c r="E213" s="25"/>
      <c r="F213" s="25"/>
      <c r="G213" s="25"/>
      <c r="H213" s="25"/>
      <c r="I213" s="25"/>
      <c r="J213" s="25"/>
      <c r="K213" s="25"/>
      <c r="L213" s="25"/>
      <c r="M213" s="495"/>
      <c r="N213" s="63"/>
      <c r="O213" s="63"/>
      <c r="P213" s="496"/>
      <c r="Q213" s="497"/>
      <c r="R213" s="63"/>
      <c r="S213" s="498"/>
      <c r="T213" s="63"/>
      <c r="U213" s="63"/>
      <c r="V213" s="499"/>
      <c r="W213" s="499"/>
      <c r="X213" s="63"/>
      <c r="Y213" s="63"/>
      <c r="Z213" s="500"/>
      <c r="AA213" s="63"/>
      <c r="AB213" s="63"/>
      <c r="AC213" s="63"/>
      <c r="AD213" s="63"/>
      <c r="AE213" s="63"/>
      <c r="AF213" s="63"/>
      <c r="AG213" s="63"/>
      <c r="AH213" s="63"/>
      <c r="AI213" s="501"/>
      <c r="AJ213" s="63"/>
      <c r="AK213" s="25"/>
      <c r="AL213" s="25"/>
      <c r="AM213" s="25"/>
    </row>
    <row r="214" ht="14" spans="1:39">
      <c r="A214" s="25"/>
      <c r="B214" s="63"/>
      <c r="C214" s="25"/>
      <c r="D214" s="25"/>
      <c r="E214" s="25"/>
      <c r="F214" s="25"/>
      <c r="G214" s="25"/>
      <c r="H214" s="25"/>
      <c r="I214" s="25"/>
      <c r="J214" s="25"/>
      <c r="K214" s="25"/>
      <c r="L214" s="25"/>
      <c r="M214" s="495"/>
      <c r="N214" s="63"/>
      <c r="O214" s="63"/>
      <c r="P214" s="496"/>
      <c r="Q214" s="497"/>
      <c r="R214" s="63"/>
      <c r="S214" s="498"/>
      <c r="T214" s="63"/>
      <c r="U214" s="63"/>
      <c r="V214" s="499"/>
      <c r="W214" s="499"/>
      <c r="X214" s="63"/>
      <c r="Y214" s="63"/>
      <c r="Z214" s="500"/>
      <c r="AA214" s="63"/>
      <c r="AB214" s="63"/>
      <c r="AC214" s="63"/>
      <c r="AD214" s="63"/>
      <c r="AE214" s="63"/>
      <c r="AF214" s="63"/>
      <c r="AG214" s="63"/>
      <c r="AH214" s="63"/>
      <c r="AI214" s="501"/>
      <c r="AJ214" s="63"/>
      <c r="AK214" s="25"/>
      <c r="AL214" s="25"/>
      <c r="AM214" s="25"/>
    </row>
    <row r="215" ht="14" spans="1:39">
      <c r="A215" s="25"/>
      <c r="B215" s="63"/>
      <c r="C215" s="25"/>
      <c r="D215" s="25"/>
      <c r="E215" s="25"/>
      <c r="F215" s="25"/>
      <c r="G215" s="25"/>
      <c r="H215" s="25"/>
      <c r="I215" s="25"/>
      <c r="J215" s="25"/>
      <c r="K215" s="25"/>
      <c r="L215" s="25"/>
      <c r="M215" s="495"/>
      <c r="N215" s="63"/>
      <c r="O215" s="63"/>
      <c r="P215" s="496"/>
      <c r="Q215" s="497"/>
      <c r="R215" s="63"/>
      <c r="S215" s="498"/>
      <c r="T215" s="63"/>
      <c r="U215" s="63"/>
      <c r="V215" s="499"/>
      <c r="W215" s="499"/>
      <c r="X215" s="63"/>
      <c r="Y215" s="63"/>
      <c r="Z215" s="500"/>
      <c r="AA215" s="63"/>
      <c r="AB215" s="63"/>
      <c r="AC215" s="63"/>
      <c r="AD215" s="63"/>
      <c r="AE215" s="63"/>
      <c r="AF215" s="63"/>
      <c r="AG215" s="63"/>
      <c r="AH215" s="63"/>
      <c r="AI215" s="501"/>
      <c r="AJ215" s="63"/>
      <c r="AK215" s="25"/>
      <c r="AL215" s="25"/>
      <c r="AM215" s="25"/>
    </row>
    <row r="216" ht="14" spans="1:39">
      <c r="A216" s="25"/>
      <c r="B216" s="63"/>
      <c r="C216" s="25"/>
      <c r="D216" s="25"/>
      <c r="E216" s="25"/>
      <c r="F216" s="25"/>
      <c r="G216" s="25"/>
      <c r="H216" s="25"/>
      <c r="I216" s="25"/>
      <c r="J216" s="25"/>
      <c r="K216" s="25"/>
      <c r="L216" s="25"/>
      <c r="M216" s="495"/>
      <c r="N216" s="63"/>
      <c r="O216" s="63"/>
      <c r="P216" s="496"/>
      <c r="Q216" s="497"/>
      <c r="R216" s="63"/>
      <c r="S216" s="498"/>
      <c r="T216" s="63"/>
      <c r="U216" s="63"/>
      <c r="V216" s="499"/>
      <c r="W216" s="499"/>
      <c r="X216" s="63"/>
      <c r="Y216" s="63"/>
      <c r="Z216" s="500"/>
      <c r="AA216" s="63"/>
      <c r="AB216" s="63"/>
      <c r="AC216" s="63"/>
      <c r="AD216" s="63"/>
      <c r="AE216" s="63"/>
      <c r="AF216" s="63"/>
      <c r="AG216" s="63"/>
      <c r="AH216" s="63"/>
      <c r="AI216" s="501"/>
      <c r="AJ216" s="63"/>
      <c r="AK216" s="25"/>
      <c r="AL216" s="25"/>
      <c r="AM216" s="25"/>
    </row>
    <row r="217" ht="14" spans="1:39">
      <c r="A217" s="25"/>
      <c r="B217" s="63"/>
      <c r="C217" s="25"/>
      <c r="D217" s="25"/>
      <c r="E217" s="25"/>
      <c r="F217" s="25"/>
      <c r="G217" s="25"/>
      <c r="H217" s="25"/>
      <c r="I217" s="25"/>
      <c r="J217" s="25"/>
      <c r="K217" s="25"/>
      <c r="L217" s="25"/>
      <c r="M217" s="495"/>
      <c r="N217" s="63"/>
      <c r="O217" s="63"/>
      <c r="P217" s="496"/>
      <c r="Q217" s="497"/>
      <c r="R217" s="63"/>
      <c r="S217" s="498"/>
      <c r="T217" s="63"/>
      <c r="U217" s="63"/>
      <c r="V217" s="499"/>
      <c r="W217" s="499"/>
      <c r="X217" s="63"/>
      <c r="Y217" s="63"/>
      <c r="Z217" s="500"/>
      <c r="AA217" s="63"/>
      <c r="AB217" s="63"/>
      <c r="AC217" s="63"/>
      <c r="AD217" s="63"/>
      <c r="AE217" s="63"/>
      <c r="AF217" s="63"/>
      <c r="AG217" s="63"/>
      <c r="AH217" s="63"/>
      <c r="AI217" s="501"/>
      <c r="AJ217" s="63"/>
      <c r="AK217" s="25"/>
      <c r="AL217" s="25"/>
      <c r="AM217" s="25"/>
    </row>
    <row r="218" ht="14" spans="1:39">
      <c r="A218" s="25"/>
      <c r="B218" s="63"/>
      <c r="C218" s="25"/>
      <c r="D218" s="25"/>
      <c r="E218" s="25"/>
      <c r="F218" s="25"/>
      <c r="G218" s="25"/>
      <c r="H218" s="25"/>
      <c r="I218" s="25"/>
      <c r="J218" s="25"/>
      <c r="K218" s="25"/>
      <c r="L218" s="25"/>
      <c r="M218" s="495"/>
      <c r="N218" s="63"/>
      <c r="O218" s="63"/>
      <c r="P218" s="496"/>
      <c r="Q218" s="497"/>
      <c r="R218" s="63"/>
      <c r="S218" s="498"/>
      <c r="T218" s="63"/>
      <c r="U218" s="63"/>
      <c r="V218" s="499"/>
      <c r="W218" s="499"/>
      <c r="X218" s="63"/>
      <c r="Y218" s="63"/>
      <c r="Z218" s="500"/>
      <c r="AA218" s="63"/>
      <c r="AB218" s="63"/>
      <c r="AC218" s="63"/>
      <c r="AD218" s="63"/>
      <c r="AE218" s="63"/>
      <c r="AF218" s="63"/>
      <c r="AG218" s="63"/>
      <c r="AH218" s="63"/>
      <c r="AI218" s="501"/>
      <c r="AJ218" s="63"/>
      <c r="AK218" s="25"/>
      <c r="AL218" s="25"/>
      <c r="AM218" s="25"/>
    </row>
    <row r="219" ht="14" spans="1:39">
      <c r="A219" s="25"/>
      <c r="B219" s="63"/>
      <c r="C219" s="25"/>
      <c r="D219" s="25"/>
      <c r="E219" s="25"/>
      <c r="F219" s="25"/>
      <c r="G219" s="25"/>
      <c r="H219" s="25"/>
      <c r="I219" s="25"/>
      <c r="J219" s="25"/>
      <c r="K219" s="25"/>
      <c r="L219" s="25"/>
      <c r="M219" s="495"/>
      <c r="N219" s="63"/>
      <c r="O219" s="63"/>
      <c r="P219" s="496"/>
      <c r="Q219" s="497"/>
      <c r="R219" s="63"/>
      <c r="S219" s="498"/>
      <c r="T219" s="63"/>
      <c r="U219" s="63"/>
      <c r="V219" s="499"/>
      <c r="W219" s="499"/>
      <c r="X219" s="63"/>
      <c r="Y219" s="63"/>
      <c r="Z219" s="500"/>
      <c r="AA219" s="63"/>
      <c r="AB219" s="63"/>
      <c r="AC219" s="63"/>
      <c r="AD219" s="63"/>
      <c r="AE219" s="63"/>
      <c r="AF219" s="63"/>
      <c r="AG219" s="63"/>
      <c r="AH219" s="63"/>
      <c r="AI219" s="501"/>
      <c r="AJ219" s="63"/>
      <c r="AK219" s="25"/>
      <c r="AL219" s="25"/>
      <c r="AM219" s="25"/>
    </row>
    <row r="220" ht="14" spans="1:39">
      <c r="A220" s="25"/>
      <c r="B220" s="63"/>
      <c r="C220" s="25"/>
      <c r="D220" s="25"/>
      <c r="E220" s="25"/>
      <c r="F220" s="25"/>
      <c r="G220" s="25"/>
      <c r="H220" s="25"/>
      <c r="I220" s="25"/>
      <c r="J220" s="25"/>
      <c r="K220" s="25"/>
      <c r="L220" s="25"/>
      <c r="M220" s="495"/>
      <c r="N220" s="63"/>
      <c r="O220" s="63"/>
      <c r="P220" s="496"/>
      <c r="Q220" s="497"/>
      <c r="R220" s="63"/>
      <c r="S220" s="498"/>
      <c r="T220" s="63"/>
      <c r="U220" s="63"/>
      <c r="V220" s="499"/>
      <c r="W220" s="499"/>
      <c r="X220" s="63"/>
      <c r="Y220" s="63"/>
      <c r="Z220" s="500"/>
      <c r="AA220" s="63"/>
      <c r="AB220" s="63"/>
      <c r="AC220" s="63"/>
      <c r="AD220" s="63"/>
      <c r="AE220" s="63"/>
      <c r="AF220" s="63"/>
      <c r="AG220" s="63"/>
      <c r="AH220" s="63"/>
      <c r="AI220" s="501"/>
      <c r="AJ220" s="63"/>
      <c r="AK220" s="25"/>
      <c r="AL220" s="25"/>
      <c r="AM220" s="25"/>
    </row>
    <row r="221" ht="14" spans="1:39">
      <c r="A221" s="25"/>
      <c r="B221" s="63"/>
      <c r="C221" s="25"/>
      <c r="D221" s="25"/>
      <c r="E221" s="25"/>
      <c r="F221" s="25"/>
      <c r="G221" s="25"/>
      <c r="H221" s="25"/>
      <c r="I221" s="25"/>
      <c r="J221" s="25"/>
      <c r="K221" s="25"/>
      <c r="L221" s="25"/>
      <c r="M221" s="495"/>
      <c r="N221" s="63"/>
      <c r="O221" s="63"/>
      <c r="P221" s="496"/>
      <c r="Q221" s="497"/>
      <c r="R221" s="63"/>
      <c r="S221" s="498"/>
      <c r="T221" s="63"/>
      <c r="U221" s="63"/>
      <c r="V221" s="499"/>
      <c r="W221" s="499"/>
      <c r="X221" s="63"/>
      <c r="Y221" s="63"/>
      <c r="Z221" s="500"/>
      <c r="AA221" s="63"/>
      <c r="AB221" s="63"/>
      <c r="AC221" s="63"/>
      <c r="AD221" s="63"/>
      <c r="AE221" s="63"/>
      <c r="AF221" s="63"/>
      <c r="AG221" s="63"/>
      <c r="AH221" s="63"/>
      <c r="AI221" s="501"/>
      <c r="AJ221" s="63"/>
      <c r="AK221" s="25"/>
      <c r="AL221" s="25"/>
      <c r="AM221" s="25"/>
    </row>
    <row r="222" ht="14" spans="1:39">
      <c r="A222" s="25"/>
      <c r="B222" s="63"/>
      <c r="C222" s="25"/>
      <c r="D222" s="25"/>
      <c r="E222" s="25"/>
      <c r="F222" s="25"/>
      <c r="G222" s="25"/>
      <c r="H222" s="25"/>
      <c r="I222" s="25"/>
      <c r="J222" s="25"/>
      <c r="K222" s="25"/>
      <c r="L222" s="25"/>
      <c r="M222" s="495"/>
      <c r="N222" s="63"/>
      <c r="O222" s="63"/>
      <c r="P222" s="496"/>
      <c r="Q222" s="497"/>
      <c r="R222" s="63"/>
      <c r="S222" s="498"/>
      <c r="T222" s="63"/>
      <c r="U222" s="63"/>
      <c r="V222" s="499"/>
      <c r="W222" s="499"/>
      <c r="X222" s="63"/>
      <c r="Y222" s="63"/>
      <c r="Z222" s="500"/>
      <c r="AA222" s="63"/>
      <c r="AB222" s="63"/>
      <c r="AC222" s="63"/>
      <c r="AD222" s="63"/>
      <c r="AE222" s="63"/>
      <c r="AF222" s="63"/>
      <c r="AG222" s="63"/>
      <c r="AH222" s="63"/>
      <c r="AI222" s="501"/>
      <c r="AJ222" s="63"/>
      <c r="AK222" s="25"/>
      <c r="AL222" s="25"/>
      <c r="AM222" s="25"/>
    </row>
    <row r="223" ht="14" spans="1:39">
      <c r="A223" s="25"/>
      <c r="B223" s="63"/>
      <c r="C223" s="25"/>
      <c r="D223" s="25"/>
      <c r="E223" s="25"/>
      <c r="F223" s="25"/>
      <c r="G223" s="25"/>
      <c r="H223" s="25"/>
      <c r="I223" s="25"/>
      <c r="J223" s="25"/>
      <c r="K223" s="25"/>
      <c r="L223" s="25"/>
      <c r="M223" s="495"/>
      <c r="N223" s="63"/>
      <c r="O223" s="63"/>
      <c r="P223" s="496"/>
      <c r="Q223" s="497"/>
      <c r="R223" s="63"/>
      <c r="S223" s="498"/>
      <c r="T223" s="63"/>
      <c r="U223" s="63"/>
      <c r="V223" s="499"/>
      <c r="W223" s="499"/>
      <c r="X223" s="63"/>
      <c r="Y223" s="63"/>
      <c r="Z223" s="500"/>
      <c r="AA223" s="63"/>
      <c r="AB223" s="63"/>
      <c r="AC223" s="63"/>
      <c r="AD223" s="63"/>
      <c r="AE223" s="63"/>
      <c r="AF223" s="63"/>
      <c r="AG223" s="63"/>
      <c r="AH223" s="63"/>
      <c r="AI223" s="501"/>
      <c r="AJ223" s="63"/>
      <c r="AK223" s="25"/>
      <c r="AL223" s="25"/>
      <c r="AM223" s="25"/>
    </row>
    <row r="224" ht="14" spans="1:39">
      <c r="A224" s="25"/>
      <c r="B224" s="63"/>
      <c r="C224" s="25"/>
      <c r="D224" s="25"/>
      <c r="E224" s="25"/>
      <c r="F224" s="25"/>
      <c r="G224" s="25"/>
      <c r="H224" s="25"/>
      <c r="I224" s="25"/>
      <c r="J224" s="25"/>
      <c r="K224" s="25"/>
      <c r="L224" s="25"/>
      <c r="M224" s="495"/>
      <c r="N224" s="63"/>
      <c r="O224" s="63"/>
      <c r="P224" s="496"/>
      <c r="Q224" s="497"/>
      <c r="R224" s="63"/>
      <c r="S224" s="498"/>
      <c r="T224" s="63"/>
      <c r="U224" s="63"/>
      <c r="V224" s="499"/>
      <c r="W224" s="499"/>
      <c r="X224" s="63"/>
      <c r="Y224" s="63"/>
      <c r="Z224" s="500"/>
      <c r="AA224" s="63"/>
      <c r="AB224" s="63"/>
      <c r="AC224" s="63"/>
      <c r="AD224" s="63"/>
      <c r="AE224" s="63"/>
      <c r="AF224" s="63"/>
      <c r="AG224" s="63"/>
      <c r="AH224" s="63"/>
      <c r="AI224" s="501"/>
      <c r="AJ224" s="63"/>
      <c r="AK224" s="25"/>
      <c r="AL224" s="25"/>
      <c r="AM224" s="25"/>
    </row>
    <row r="225" ht="14" spans="1:39">
      <c r="A225" s="25"/>
      <c r="B225" s="63"/>
      <c r="C225" s="25"/>
      <c r="D225" s="25"/>
      <c r="E225" s="25"/>
      <c r="F225" s="25"/>
      <c r="G225" s="25"/>
      <c r="H225" s="25"/>
      <c r="I225" s="25"/>
      <c r="J225" s="25"/>
      <c r="K225" s="25"/>
      <c r="L225" s="25"/>
      <c r="M225" s="495"/>
      <c r="N225" s="63"/>
      <c r="O225" s="63"/>
      <c r="P225" s="496"/>
      <c r="Q225" s="497"/>
      <c r="R225" s="63"/>
      <c r="S225" s="498"/>
      <c r="T225" s="63"/>
      <c r="U225" s="63"/>
      <c r="V225" s="499"/>
      <c r="W225" s="499"/>
      <c r="X225" s="63"/>
      <c r="Y225" s="63"/>
      <c r="Z225" s="500"/>
      <c r="AA225" s="63"/>
      <c r="AB225" s="63"/>
      <c r="AC225" s="63"/>
      <c r="AD225" s="63"/>
      <c r="AE225" s="63"/>
      <c r="AF225" s="63"/>
      <c r="AG225" s="63"/>
      <c r="AH225" s="63"/>
      <c r="AI225" s="501"/>
      <c r="AJ225" s="63"/>
      <c r="AK225" s="25"/>
      <c r="AL225" s="25"/>
      <c r="AM225" s="25"/>
    </row>
    <row r="226" ht="14" spans="1:39">
      <c r="A226" s="25"/>
      <c r="B226" s="63"/>
      <c r="C226" s="25"/>
      <c r="D226" s="25"/>
      <c r="E226" s="25"/>
      <c r="F226" s="25"/>
      <c r="G226" s="25"/>
      <c r="H226" s="25"/>
      <c r="I226" s="25"/>
      <c r="J226" s="25"/>
      <c r="K226" s="25"/>
      <c r="L226" s="25"/>
      <c r="M226" s="495"/>
      <c r="N226" s="63"/>
      <c r="O226" s="63"/>
      <c r="P226" s="496"/>
      <c r="Q226" s="497"/>
      <c r="R226" s="63"/>
      <c r="S226" s="498"/>
      <c r="T226" s="63"/>
      <c r="U226" s="63"/>
      <c r="V226" s="499"/>
      <c r="W226" s="499"/>
      <c r="X226" s="63"/>
      <c r="Y226" s="63"/>
      <c r="Z226" s="500"/>
      <c r="AA226" s="63"/>
      <c r="AB226" s="63"/>
      <c r="AC226" s="63"/>
      <c r="AD226" s="63"/>
      <c r="AE226" s="63"/>
      <c r="AF226" s="63"/>
      <c r="AG226" s="63"/>
      <c r="AH226" s="63"/>
      <c r="AI226" s="501"/>
      <c r="AJ226" s="63"/>
      <c r="AK226" s="25"/>
      <c r="AL226" s="25"/>
      <c r="AM226" s="25"/>
    </row>
    <row r="227" ht="14" spans="1:39">
      <c r="A227" s="25"/>
      <c r="B227" s="63"/>
      <c r="C227" s="25"/>
      <c r="D227" s="25"/>
      <c r="E227" s="25"/>
      <c r="F227" s="25"/>
      <c r="G227" s="25"/>
      <c r="H227" s="25"/>
      <c r="I227" s="25"/>
      <c r="J227" s="25"/>
      <c r="K227" s="25"/>
      <c r="L227" s="25"/>
      <c r="M227" s="495"/>
      <c r="N227" s="63"/>
      <c r="O227" s="63"/>
      <c r="P227" s="496"/>
      <c r="Q227" s="497"/>
      <c r="R227" s="63"/>
      <c r="S227" s="498"/>
      <c r="T227" s="63"/>
      <c r="U227" s="63"/>
      <c r="V227" s="499"/>
      <c r="W227" s="499"/>
      <c r="X227" s="63"/>
      <c r="Y227" s="63"/>
      <c r="Z227" s="500"/>
      <c r="AA227" s="63"/>
      <c r="AB227" s="63"/>
      <c r="AC227" s="63"/>
      <c r="AD227" s="63"/>
      <c r="AE227" s="63"/>
      <c r="AF227" s="63"/>
      <c r="AG227" s="63"/>
      <c r="AH227" s="63"/>
      <c r="AI227" s="501"/>
      <c r="AJ227" s="63"/>
      <c r="AK227" s="25"/>
      <c r="AL227" s="25"/>
      <c r="AM227" s="25"/>
    </row>
    <row r="228" ht="14" spans="1:39">
      <c r="A228" s="25"/>
      <c r="B228" s="63"/>
      <c r="C228" s="25"/>
      <c r="D228" s="25"/>
      <c r="E228" s="25"/>
      <c r="F228" s="25"/>
      <c r="G228" s="25"/>
      <c r="H228" s="25"/>
      <c r="I228" s="25"/>
      <c r="J228" s="25"/>
      <c r="K228" s="25"/>
      <c r="L228" s="25"/>
      <c r="M228" s="495"/>
      <c r="N228" s="63"/>
      <c r="O228" s="63"/>
      <c r="P228" s="496"/>
      <c r="Q228" s="497"/>
      <c r="R228" s="63"/>
      <c r="S228" s="498"/>
      <c r="T228" s="63"/>
      <c r="U228" s="63"/>
      <c r="V228" s="499"/>
      <c r="W228" s="499"/>
      <c r="X228" s="63"/>
      <c r="Y228" s="63"/>
      <c r="Z228" s="500"/>
      <c r="AA228" s="63"/>
      <c r="AB228" s="63"/>
      <c r="AC228" s="63"/>
      <c r="AD228" s="63"/>
      <c r="AE228" s="63"/>
      <c r="AF228" s="63"/>
      <c r="AG228" s="63"/>
      <c r="AH228" s="63"/>
      <c r="AI228" s="501"/>
      <c r="AJ228" s="63"/>
      <c r="AK228" s="25"/>
      <c r="AL228" s="25"/>
      <c r="AM228" s="25"/>
    </row>
    <row r="229" ht="14" spans="1:39">
      <c r="A229" s="25"/>
      <c r="B229" s="63"/>
      <c r="C229" s="25"/>
      <c r="D229" s="25"/>
      <c r="E229" s="25"/>
      <c r="F229" s="25"/>
      <c r="G229" s="25"/>
      <c r="H229" s="25"/>
      <c r="I229" s="25"/>
      <c r="J229" s="25"/>
      <c r="K229" s="25"/>
      <c r="L229" s="25"/>
      <c r="M229" s="495"/>
      <c r="N229" s="63"/>
      <c r="O229" s="63"/>
      <c r="P229" s="496"/>
      <c r="Q229" s="497"/>
      <c r="R229" s="63"/>
      <c r="S229" s="498"/>
      <c r="T229" s="63"/>
      <c r="U229" s="63"/>
      <c r="V229" s="499"/>
      <c r="W229" s="499"/>
      <c r="X229" s="63"/>
      <c r="Y229" s="63"/>
      <c r="Z229" s="500"/>
      <c r="AA229" s="63"/>
      <c r="AB229" s="63"/>
      <c r="AC229" s="63"/>
      <c r="AD229" s="63"/>
      <c r="AE229" s="63"/>
      <c r="AF229" s="63"/>
      <c r="AG229" s="63"/>
      <c r="AH229" s="63"/>
      <c r="AI229" s="501"/>
      <c r="AJ229" s="63"/>
      <c r="AK229" s="25"/>
      <c r="AL229" s="25"/>
      <c r="AM229" s="25"/>
    </row>
    <row r="230" ht="14" spans="1:39">
      <c r="A230" s="25"/>
      <c r="B230" s="63"/>
      <c r="C230" s="25"/>
      <c r="D230" s="25"/>
      <c r="E230" s="25"/>
      <c r="F230" s="25"/>
      <c r="G230" s="25"/>
      <c r="H230" s="25"/>
      <c r="I230" s="25"/>
      <c r="J230" s="25"/>
      <c r="K230" s="25"/>
      <c r="L230" s="25"/>
      <c r="M230" s="495"/>
      <c r="N230" s="63"/>
      <c r="O230" s="63"/>
      <c r="P230" s="496"/>
      <c r="Q230" s="497"/>
      <c r="R230" s="63"/>
      <c r="S230" s="498"/>
      <c r="T230" s="63"/>
      <c r="U230" s="63"/>
      <c r="V230" s="499"/>
      <c r="W230" s="499"/>
      <c r="X230" s="63"/>
      <c r="Y230" s="63"/>
      <c r="Z230" s="500"/>
      <c r="AA230" s="63"/>
      <c r="AB230" s="63"/>
      <c r="AC230" s="63"/>
      <c r="AD230" s="63"/>
      <c r="AE230" s="63"/>
      <c r="AF230" s="63"/>
      <c r="AG230" s="63"/>
      <c r="AH230" s="63"/>
      <c r="AI230" s="501"/>
      <c r="AJ230" s="63"/>
      <c r="AK230" s="25"/>
      <c r="AL230" s="25"/>
      <c r="AM230" s="25"/>
    </row>
    <row r="231" ht="14" spans="1:39">
      <c r="A231" s="25"/>
      <c r="B231" s="63"/>
      <c r="C231" s="25"/>
      <c r="D231" s="25"/>
      <c r="E231" s="25"/>
      <c r="F231" s="25"/>
      <c r="G231" s="25"/>
      <c r="H231" s="25"/>
      <c r="I231" s="25"/>
      <c r="J231" s="25"/>
      <c r="K231" s="25"/>
      <c r="L231" s="25"/>
      <c r="M231" s="495"/>
      <c r="N231" s="63"/>
      <c r="O231" s="63"/>
      <c r="P231" s="496"/>
      <c r="Q231" s="497"/>
      <c r="R231" s="63"/>
      <c r="S231" s="498"/>
      <c r="T231" s="63"/>
      <c r="U231" s="63"/>
      <c r="V231" s="499"/>
      <c r="W231" s="499"/>
      <c r="X231" s="63"/>
      <c r="Y231" s="63"/>
      <c r="Z231" s="500"/>
      <c r="AA231" s="63"/>
      <c r="AB231" s="63"/>
      <c r="AC231" s="63"/>
      <c r="AD231" s="63"/>
      <c r="AE231" s="63"/>
      <c r="AF231" s="63"/>
      <c r="AG231" s="63"/>
      <c r="AH231" s="63"/>
      <c r="AI231" s="501"/>
      <c r="AJ231" s="63"/>
      <c r="AK231" s="25"/>
      <c r="AL231" s="25"/>
      <c r="AM231" s="25"/>
    </row>
    <row r="232" ht="14" spans="1:39">
      <c r="A232" s="25"/>
      <c r="B232" s="63"/>
      <c r="C232" s="25"/>
      <c r="D232" s="25"/>
      <c r="E232" s="25"/>
      <c r="F232" s="25"/>
      <c r="G232" s="25"/>
      <c r="H232" s="25"/>
      <c r="I232" s="25"/>
      <c r="J232" s="25"/>
      <c r="K232" s="25"/>
      <c r="L232" s="25"/>
      <c r="M232" s="495"/>
      <c r="N232" s="63"/>
      <c r="O232" s="63"/>
      <c r="P232" s="496"/>
      <c r="Q232" s="497"/>
      <c r="R232" s="63"/>
      <c r="S232" s="498"/>
      <c r="T232" s="63"/>
      <c r="U232" s="63"/>
      <c r="V232" s="499"/>
      <c r="W232" s="499"/>
      <c r="X232" s="63"/>
      <c r="Y232" s="63"/>
      <c r="Z232" s="500"/>
      <c r="AA232" s="63"/>
      <c r="AB232" s="63"/>
      <c r="AC232" s="63"/>
      <c r="AD232" s="63"/>
      <c r="AE232" s="63"/>
      <c r="AF232" s="63"/>
      <c r="AG232" s="63"/>
      <c r="AH232" s="63"/>
      <c r="AI232" s="501"/>
      <c r="AJ232" s="63"/>
      <c r="AK232" s="25"/>
      <c r="AL232" s="25"/>
      <c r="AM232" s="25"/>
    </row>
    <row r="233" ht="14" spans="1:39">
      <c r="A233" s="25"/>
      <c r="B233" s="63"/>
      <c r="C233" s="25"/>
      <c r="D233" s="25"/>
      <c r="E233" s="25"/>
      <c r="F233" s="25"/>
      <c r="G233" s="25"/>
      <c r="H233" s="25"/>
      <c r="I233" s="25"/>
      <c r="J233" s="25"/>
      <c r="K233" s="25"/>
      <c r="L233" s="25"/>
      <c r="M233" s="495"/>
      <c r="N233" s="63"/>
      <c r="O233" s="63"/>
      <c r="P233" s="496"/>
      <c r="Q233" s="497"/>
      <c r="R233" s="63"/>
      <c r="S233" s="498"/>
      <c r="T233" s="63"/>
      <c r="U233" s="63"/>
      <c r="V233" s="499"/>
      <c r="W233" s="499"/>
      <c r="X233" s="63"/>
      <c r="Y233" s="63"/>
      <c r="Z233" s="500"/>
      <c r="AA233" s="63"/>
      <c r="AB233" s="63"/>
      <c r="AC233" s="63"/>
      <c r="AD233" s="63"/>
      <c r="AE233" s="63"/>
      <c r="AF233" s="63"/>
      <c r="AG233" s="63"/>
      <c r="AH233" s="63"/>
      <c r="AI233" s="501"/>
      <c r="AJ233" s="63"/>
      <c r="AK233" s="25"/>
      <c r="AL233" s="25"/>
      <c r="AM233" s="25"/>
    </row>
    <row r="234" ht="14" spans="1:39">
      <c r="A234" s="25"/>
      <c r="B234" s="63"/>
      <c r="C234" s="25"/>
      <c r="D234" s="25"/>
      <c r="E234" s="25"/>
      <c r="F234" s="25"/>
      <c r="G234" s="25"/>
      <c r="H234" s="25"/>
      <c r="I234" s="25"/>
      <c r="J234" s="25"/>
      <c r="K234" s="25"/>
      <c r="L234" s="25"/>
      <c r="M234" s="495"/>
      <c r="N234" s="63"/>
      <c r="O234" s="63"/>
      <c r="P234" s="496"/>
      <c r="Q234" s="497"/>
      <c r="R234" s="63"/>
      <c r="S234" s="498"/>
      <c r="T234" s="63"/>
      <c r="U234" s="63"/>
      <c r="V234" s="499"/>
      <c r="W234" s="499"/>
      <c r="X234" s="63"/>
      <c r="Y234" s="63"/>
      <c r="Z234" s="500"/>
      <c r="AA234" s="63"/>
      <c r="AB234" s="63"/>
      <c r="AC234" s="63"/>
      <c r="AD234" s="63"/>
      <c r="AE234" s="63"/>
      <c r="AF234" s="63"/>
      <c r="AG234" s="63"/>
      <c r="AH234" s="63"/>
      <c r="AI234" s="501"/>
      <c r="AJ234" s="63"/>
      <c r="AK234" s="25"/>
      <c r="AL234" s="25"/>
      <c r="AM234" s="25"/>
    </row>
    <row r="235" ht="14" spans="1:39">
      <c r="A235" s="25"/>
      <c r="B235" s="63"/>
      <c r="C235" s="25"/>
      <c r="D235" s="25"/>
      <c r="E235" s="25"/>
      <c r="F235" s="25"/>
      <c r="G235" s="25"/>
      <c r="H235" s="25"/>
      <c r="I235" s="25"/>
      <c r="J235" s="25"/>
      <c r="K235" s="25"/>
      <c r="L235" s="25"/>
      <c r="M235" s="495"/>
      <c r="N235" s="63"/>
      <c r="O235" s="63"/>
      <c r="P235" s="496"/>
      <c r="Q235" s="497"/>
      <c r="R235" s="63"/>
      <c r="S235" s="498"/>
      <c r="T235" s="63"/>
      <c r="U235" s="63"/>
      <c r="V235" s="499"/>
      <c r="W235" s="499"/>
      <c r="X235" s="63"/>
      <c r="Y235" s="63"/>
      <c r="Z235" s="500"/>
      <c r="AA235" s="63"/>
      <c r="AB235" s="63"/>
      <c r="AC235" s="63"/>
      <c r="AD235" s="63"/>
      <c r="AE235" s="63"/>
      <c r="AF235" s="63"/>
      <c r="AG235" s="63"/>
      <c r="AH235" s="63"/>
      <c r="AI235" s="501"/>
      <c r="AJ235" s="63"/>
      <c r="AK235" s="25"/>
      <c r="AL235" s="25"/>
      <c r="AM235" s="25"/>
    </row>
    <row r="236" ht="14" spans="1:39">
      <c r="A236" s="25"/>
      <c r="B236" s="63"/>
      <c r="C236" s="25"/>
      <c r="D236" s="25"/>
      <c r="E236" s="25"/>
      <c r="F236" s="25"/>
      <c r="G236" s="25"/>
      <c r="H236" s="25"/>
      <c r="I236" s="25"/>
      <c r="J236" s="25"/>
      <c r="K236" s="25"/>
      <c r="L236" s="25"/>
      <c r="M236" s="495"/>
      <c r="N236" s="63"/>
      <c r="O236" s="63"/>
      <c r="P236" s="496"/>
      <c r="Q236" s="497"/>
      <c r="R236" s="63"/>
      <c r="S236" s="498"/>
      <c r="T236" s="63"/>
      <c r="U236" s="63"/>
      <c r="V236" s="499"/>
      <c r="W236" s="499"/>
      <c r="X236" s="63"/>
      <c r="Y236" s="63"/>
      <c r="Z236" s="500"/>
      <c r="AA236" s="63"/>
      <c r="AB236" s="63"/>
      <c r="AC236" s="63"/>
      <c r="AD236" s="63"/>
      <c r="AE236" s="63"/>
      <c r="AF236" s="63"/>
      <c r="AG236" s="63"/>
      <c r="AH236" s="63"/>
      <c r="AI236" s="501"/>
      <c r="AJ236" s="63"/>
      <c r="AK236" s="25"/>
      <c r="AL236" s="25"/>
      <c r="AM236" s="25"/>
    </row>
    <row r="237" ht="14" spans="1:39">
      <c r="A237" s="25"/>
      <c r="B237" s="63"/>
      <c r="C237" s="25"/>
      <c r="D237" s="25"/>
      <c r="E237" s="25"/>
      <c r="F237" s="25"/>
      <c r="G237" s="25"/>
      <c r="H237" s="25"/>
      <c r="I237" s="25"/>
      <c r="J237" s="25"/>
      <c r="K237" s="25"/>
      <c r="L237" s="25"/>
      <c r="M237" s="495"/>
      <c r="N237" s="63"/>
      <c r="O237" s="63"/>
      <c r="P237" s="496"/>
      <c r="Q237" s="497"/>
      <c r="R237" s="63"/>
      <c r="S237" s="498"/>
      <c r="T237" s="63"/>
      <c r="U237" s="63"/>
      <c r="V237" s="499"/>
      <c r="W237" s="499"/>
      <c r="X237" s="63"/>
      <c r="Y237" s="63"/>
      <c r="Z237" s="500"/>
      <c r="AA237" s="63"/>
      <c r="AB237" s="63"/>
      <c r="AC237" s="63"/>
      <c r="AD237" s="63"/>
      <c r="AE237" s="63"/>
      <c r="AF237" s="63"/>
      <c r="AG237" s="63"/>
      <c r="AH237" s="63"/>
      <c r="AI237" s="501"/>
      <c r="AJ237" s="63"/>
      <c r="AK237" s="25"/>
      <c r="AL237" s="25"/>
      <c r="AM237" s="25"/>
    </row>
    <row r="238" ht="14" spans="1:39">
      <c r="A238" s="25"/>
      <c r="B238" s="63"/>
      <c r="C238" s="25"/>
      <c r="D238" s="25"/>
      <c r="E238" s="25"/>
      <c r="F238" s="25"/>
      <c r="G238" s="25"/>
      <c r="H238" s="25"/>
      <c r="I238" s="25"/>
      <c r="J238" s="25"/>
      <c r="K238" s="25"/>
      <c r="L238" s="25"/>
      <c r="M238" s="495"/>
      <c r="N238" s="63"/>
      <c r="O238" s="63"/>
      <c r="P238" s="496"/>
      <c r="Q238" s="497"/>
      <c r="R238" s="63"/>
      <c r="S238" s="498"/>
      <c r="T238" s="63"/>
      <c r="U238" s="63"/>
      <c r="V238" s="499"/>
      <c r="W238" s="499"/>
      <c r="X238" s="63"/>
      <c r="Y238" s="63"/>
      <c r="Z238" s="500"/>
      <c r="AA238" s="63"/>
      <c r="AB238" s="63"/>
      <c r="AC238" s="63"/>
      <c r="AD238" s="63"/>
      <c r="AE238" s="63"/>
      <c r="AF238" s="63"/>
      <c r="AG238" s="63"/>
      <c r="AH238" s="63"/>
      <c r="AI238" s="501"/>
      <c r="AJ238" s="63"/>
      <c r="AK238" s="25"/>
      <c r="AL238" s="25"/>
      <c r="AM238" s="25"/>
    </row>
    <row r="239" ht="14" spans="1:39">
      <c r="A239" s="25"/>
      <c r="B239" s="63"/>
      <c r="C239" s="25"/>
      <c r="D239" s="25"/>
      <c r="E239" s="25"/>
      <c r="F239" s="25"/>
      <c r="G239" s="25"/>
      <c r="H239" s="25"/>
      <c r="I239" s="25"/>
      <c r="J239" s="25"/>
      <c r="K239" s="25"/>
      <c r="L239" s="25"/>
      <c r="M239" s="495"/>
      <c r="N239" s="63"/>
      <c r="O239" s="63"/>
      <c r="P239" s="496"/>
      <c r="Q239" s="497"/>
      <c r="R239" s="63"/>
      <c r="S239" s="498"/>
      <c r="T239" s="63"/>
      <c r="U239" s="63"/>
      <c r="V239" s="499"/>
      <c r="W239" s="499"/>
      <c r="X239" s="63"/>
      <c r="Y239" s="63"/>
      <c r="Z239" s="500"/>
      <c r="AA239" s="63"/>
      <c r="AB239" s="63"/>
      <c r="AC239" s="63"/>
      <c r="AD239" s="63"/>
      <c r="AE239" s="63"/>
      <c r="AF239" s="63"/>
      <c r="AG239" s="63"/>
      <c r="AH239" s="63"/>
      <c r="AI239" s="501"/>
      <c r="AJ239" s="63"/>
      <c r="AK239" s="25"/>
      <c r="AL239" s="25"/>
      <c r="AM239" s="25"/>
    </row>
    <row r="240" ht="14" spans="1:39">
      <c r="A240" s="25"/>
      <c r="B240" s="63"/>
      <c r="C240" s="25"/>
      <c r="D240" s="25"/>
      <c r="E240" s="25"/>
      <c r="F240" s="25"/>
      <c r="G240" s="25"/>
      <c r="H240" s="25"/>
      <c r="I240" s="25"/>
      <c r="J240" s="25"/>
      <c r="K240" s="25"/>
      <c r="L240" s="25"/>
      <c r="M240" s="495"/>
      <c r="N240" s="63"/>
      <c r="O240" s="63"/>
      <c r="P240" s="496"/>
      <c r="Q240" s="497"/>
      <c r="R240" s="63"/>
      <c r="S240" s="498"/>
      <c r="T240" s="63"/>
      <c r="U240" s="63"/>
      <c r="V240" s="499"/>
      <c r="W240" s="499"/>
      <c r="X240" s="63"/>
      <c r="Y240" s="63"/>
      <c r="Z240" s="500"/>
      <c r="AA240" s="63"/>
      <c r="AB240" s="63"/>
      <c r="AC240" s="63"/>
      <c r="AD240" s="63"/>
      <c r="AE240" s="63"/>
      <c r="AF240" s="63"/>
      <c r="AG240" s="63"/>
      <c r="AH240" s="63"/>
      <c r="AI240" s="501"/>
      <c r="AJ240" s="63"/>
      <c r="AK240" s="25"/>
      <c r="AL240" s="25"/>
      <c r="AM240" s="25"/>
    </row>
    <row r="241" ht="14" spans="1:39">
      <c r="A241" s="25"/>
      <c r="B241" s="63"/>
      <c r="C241" s="25"/>
      <c r="D241" s="25"/>
      <c r="E241" s="25"/>
      <c r="F241" s="25"/>
      <c r="G241" s="25"/>
      <c r="H241" s="25"/>
      <c r="I241" s="25"/>
      <c r="J241" s="25"/>
      <c r="K241" s="25"/>
      <c r="L241" s="25"/>
      <c r="M241" s="495"/>
      <c r="N241" s="63"/>
      <c r="O241" s="63"/>
      <c r="P241" s="496"/>
      <c r="Q241" s="497"/>
      <c r="R241" s="63"/>
      <c r="S241" s="498"/>
      <c r="T241" s="63"/>
      <c r="U241" s="63"/>
      <c r="V241" s="499"/>
      <c r="W241" s="499"/>
      <c r="X241" s="63"/>
      <c r="Y241" s="63"/>
      <c r="Z241" s="500"/>
      <c r="AA241" s="63"/>
      <c r="AB241" s="63"/>
      <c r="AC241" s="63"/>
      <c r="AD241" s="63"/>
      <c r="AE241" s="63"/>
      <c r="AF241" s="63"/>
      <c r="AG241" s="63"/>
      <c r="AH241" s="63"/>
      <c r="AI241" s="501"/>
      <c r="AJ241" s="63"/>
      <c r="AK241" s="25"/>
      <c r="AL241" s="25"/>
      <c r="AM241" s="25"/>
    </row>
    <row r="242" ht="14" spans="1:39">
      <c r="A242" s="25"/>
      <c r="B242" s="63"/>
      <c r="C242" s="25"/>
      <c r="D242" s="25"/>
      <c r="E242" s="25"/>
      <c r="F242" s="25"/>
      <c r="G242" s="25"/>
      <c r="H242" s="25"/>
      <c r="I242" s="25"/>
      <c r="J242" s="25"/>
      <c r="K242" s="25"/>
      <c r="L242" s="25"/>
      <c r="M242" s="495"/>
      <c r="N242" s="63"/>
      <c r="O242" s="63"/>
      <c r="P242" s="496"/>
      <c r="Q242" s="497"/>
      <c r="R242" s="63"/>
      <c r="S242" s="498"/>
      <c r="T242" s="63"/>
      <c r="U242" s="63"/>
      <c r="V242" s="499"/>
      <c r="W242" s="499"/>
      <c r="X242" s="63"/>
      <c r="Y242" s="63"/>
      <c r="Z242" s="500"/>
      <c r="AA242" s="63"/>
      <c r="AB242" s="63"/>
      <c r="AC242" s="63"/>
      <c r="AD242" s="63"/>
      <c r="AE242" s="63"/>
      <c r="AF242" s="63"/>
      <c r="AG242" s="63"/>
      <c r="AH242" s="63"/>
      <c r="AI242" s="501"/>
      <c r="AJ242" s="63"/>
      <c r="AK242" s="25"/>
      <c r="AL242" s="25"/>
      <c r="AM242" s="25"/>
    </row>
    <row r="243" ht="14" spans="1:39">
      <c r="A243" s="25"/>
      <c r="B243" s="63"/>
      <c r="C243" s="25"/>
      <c r="D243" s="25"/>
      <c r="E243" s="25"/>
      <c r="F243" s="25"/>
      <c r="G243" s="25"/>
      <c r="H243" s="25"/>
      <c r="I243" s="25"/>
      <c r="J243" s="25"/>
      <c r="K243" s="25"/>
      <c r="L243" s="25"/>
      <c r="M243" s="495"/>
      <c r="N243" s="63"/>
      <c r="O243" s="63"/>
      <c r="P243" s="496"/>
      <c r="Q243" s="497"/>
      <c r="R243" s="63"/>
      <c r="S243" s="498"/>
      <c r="T243" s="63"/>
      <c r="U243" s="63"/>
      <c r="V243" s="499"/>
      <c r="W243" s="499"/>
      <c r="X243" s="63"/>
      <c r="Y243" s="63"/>
      <c r="Z243" s="500"/>
      <c r="AA243" s="63"/>
      <c r="AB243" s="63"/>
      <c r="AC243" s="63"/>
      <c r="AD243" s="63"/>
      <c r="AE243" s="63"/>
      <c r="AF243" s="63"/>
      <c r="AG243" s="63"/>
      <c r="AH243" s="63"/>
      <c r="AI243" s="501"/>
      <c r="AJ243" s="63"/>
      <c r="AK243" s="25"/>
      <c r="AL243" s="25"/>
      <c r="AM243" s="25"/>
    </row>
    <row r="244" ht="14" spans="1:39">
      <c r="A244" s="25"/>
      <c r="B244" s="63"/>
      <c r="C244" s="25"/>
      <c r="D244" s="25"/>
      <c r="E244" s="25"/>
      <c r="F244" s="25"/>
      <c r="G244" s="25"/>
      <c r="H244" s="25"/>
      <c r="I244" s="25"/>
      <c r="J244" s="25"/>
      <c r="K244" s="25"/>
      <c r="L244" s="25"/>
      <c r="M244" s="495"/>
      <c r="N244" s="63"/>
      <c r="O244" s="63"/>
      <c r="P244" s="496"/>
      <c r="Q244" s="497"/>
      <c r="R244" s="63"/>
      <c r="S244" s="498"/>
      <c r="T244" s="63"/>
      <c r="U244" s="63"/>
      <c r="V244" s="499"/>
      <c r="W244" s="499"/>
      <c r="X244" s="63"/>
      <c r="Y244" s="63"/>
      <c r="Z244" s="500"/>
      <c r="AA244" s="63"/>
      <c r="AB244" s="63"/>
      <c r="AC244" s="63"/>
      <c r="AD244" s="63"/>
      <c r="AE244" s="63"/>
      <c r="AF244" s="63"/>
      <c r="AG244" s="63"/>
      <c r="AH244" s="63"/>
      <c r="AI244" s="501"/>
      <c r="AJ244" s="63"/>
      <c r="AK244" s="25"/>
      <c r="AL244" s="25"/>
      <c r="AM244" s="25"/>
    </row>
    <row r="245" ht="14" spans="1:39">
      <c r="A245" s="25"/>
      <c r="B245" s="63"/>
      <c r="C245" s="25"/>
      <c r="D245" s="25"/>
      <c r="E245" s="25"/>
      <c r="F245" s="25"/>
      <c r="G245" s="25"/>
      <c r="H245" s="25"/>
      <c r="I245" s="25"/>
      <c r="J245" s="25"/>
      <c r="K245" s="25"/>
      <c r="L245" s="25"/>
      <c r="M245" s="495"/>
      <c r="N245" s="63"/>
      <c r="O245" s="63"/>
      <c r="P245" s="496"/>
      <c r="Q245" s="497"/>
      <c r="R245" s="63"/>
      <c r="S245" s="498"/>
      <c r="T245" s="63"/>
      <c r="U245" s="63"/>
      <c r="V245" s="499"/>
      <c r="W245" s="499"/>
      <c r="X245" s="63"/>
      <c r="Y245" s="63"/>
      <c r="Z245" s="500"/>
      <c r="AA245" s="63"/>
      <c r="AB245" s="63"/>
      <c r="AC245" s="63"/>
      <c r="AD245" s="63"/>
      <c r="AE245" s="63"/>
      <c r="AF245" s="63"/>
      <c r="AG245" s="63"/>
      <c r="AH245" s="63"/>
      <c r="AI245" s="501"/>
      <c r="AJ245" s="63"/>
      <c r="AK245" s="25"/>
      <c r="AL245" s="25"/>
      <c r="AM245" s="25"/>
    </row>
    <row r="246" ht="14" spans="1:39">
      <c r="A246" s="25"/>
      <c r="B246" s="63"/>
      <c r="C246" s="25"/>
      <c r="D246" s="25"/>
      <c r="E246" s="25"/>
      <c r="F246" s="25"/>
      <c r="G246" s="25"/>
      <c r="H246" s="25"/>
      <c r="I246" s="25"/>
      <c r="J246" s="25"/>
      <c r="K246" s="25"/>
      <c r="L246" s="25"/>
      <c r="M246" s="495"/>
      <c r="N246" s="63"/>
      <c r="O246" s="63"/>
      <c r="P246" s="496"/>
      <c r="Q246" s="497"/>
      <c r="R246" s="63"/>
      <c r="S246" s="498"/>
      <c r="T246" s="63"/>
      <c r="U246" s="63"/>
      <c r="V246" s="499"/>
      <c r="W246" s="499"/>
      <c r="X246" s="63"/>
      <c r="Y246" s="63"/>
      <c r="Z246" s="500"/>
      <c r="AA246" s="63"/>
      <c r="AB246" s="63"/>
      <c r="AC246" s="63"/>
      <c r="AD246" s="63"/>
      <c r="AE246" s="63"/>
      <c r="AF246" s="63"/>
      <c r="AG246" s="63"/>
      <c r="AH246" s="63"/>
      <c r="AI246" s="501"/>
      <c r="AJ246" s="63"/>
      <c r="AK246" s="25"/>
      <c r="AL246" s="25"/>
      <c r="AM246" s="25"/>
    </row>
    <row r="247" ht="14" spans="1:39">
      <c r="A247" s="25"/>
      <c r="B247" s="63"/>
      <c r="C247" s="25"/>
      <c r="D247" s="25"/>
      <c r="E247" s="25"/>
      <c r="F247" s="25"/>
      <c r="G247" s="25"/>
      <c r="H247" s="25"/>
      <c r="I247" s="25"/>
      <c r="J247" s="25"/>
      <c r="K247" s="25"/>
      <c r="L247" s="25"/>
      <c r="M247" s="495"/>
      <c r="N247" s="63"/>
      <c r="O247" s="63"/>
      <c r="P247" s="496"/>
      <c r="Q247" s="497"/>
      <c r="R247" s="63"/>
      <c r="S247" s="498"/>
      <c r="T247" s="63"/>
      <c r="U247" s="63"/>
      <c r="V247" s="499"/>
      <c r="W247" s="499"/>
      <c r="X247" s="63"/>
      <c r="Y247" s="63"/>
      <c r="Z247" s="500"/>
      <c r="AA247" s="63"/>
      <c r="AB247" s="63"/>
      <c r="AC247" s="63"/>
      <c r="AD247" s="63"/>
      <c r="AE247" s="63"/>
      <c r="AF247" s="63"/>
      <c r="AG247" s="63"/>
      <c r="AH247" s="63"/>
      <c r="AI247" s="501"/>
      <c r="AJ247" s="63"/>
      <c r="AK247" s="25"/>
      <c r="AL247" s="25"/>
      <c r="AM247" s="25"/>
    </row>
    <row r="248" ht="14" spans="1:39">
      <c r="A248" s="25"/>
      <c r="B248" s="63"/>
      <c r="C248" s="25"/>
      <c r="D248" s="25"/>
      <c r="E248" s="25"/>
      <c r="F248" s="25"/>
      <c r="G248" s="25"/>
      <c r="H248" s="25"/>
      <c r="I248" s="25"/>
      <c r="J248" s="25"/>
      <c r="K248" s="25"/>
      <c r="L248" s="25"/>
      <c r="M248" s="495"/>
      <c r="N248" s="63"/>
      <c r="O248" s="63"/>
      <c r="P248" s="496"/>
      <c r="Q248" s="497"/>
      <c r="R248" s="63"/>
      <c r="S248" s="498"/>
      <c r="T248" s="63"/>
      <c r="U248" s="63"/>
      <c r="V248" s="499"/>
      <c r="W248" s="499"/>
      <c r="X248" s="63"/>
      <c r="Y248" s="63"/>
      <c r="Z248" s="500"/>
      <c r="AA248" s="63"/>
      <c r="AB248" s="63"/>
      <c r="AC248" s="63"/>
      <c r="AD248" s="63"/>
      <c r="AE248" s="63"/>
      <c r="AF248" s="63"/>
      <c r="AG248" s="63"/>
      <c r="AH248" s="63"/>
      <c r="AI248" s="501"/>
      <c r="AJ248" s="63"/>
      <c r="AK248" s="25"/>
      <c r="AL248" s="25"/>
      <c r="AM248" s="25"/>
    </row>
    <row r="249" ht="14" spans="1:39">
      <c r="A249" s="25"/>
      <c r="B249" s="63"/>
      <c r="C249" s="25"/>
      <c r="D249" s="25"/>
      <c r="E249" s="25"/>
      <c r="F249" s="25"/>
      <c r="G249" s="25"/>
      <c r="H249" s="25"/>
      <c r="I249" s="25"/>
      <c r="J249" s="25"/>
      <c r="K249" s="25"/>
      <c r="L249" s="25"/>
      <c r="M249" s="495"/>
      <c r="N249" s="63"/>
      <c r="O249" s="63"/>
      <c r="P249" s="496"/>
      <c r="Q249" s="497"/>
      <c r="R249" s="63"/>
      <c r="S249" s="498"/>
      <c r="T249" s="63"/>
      <c r="U249" s="63"/>
      <c r="V249" s="499"/>
      <c r="W249" s="499"/>
      <c r="X249" s="63"/>
      <c r="Y249" s="63"/>
      <c r="Z249" s="500"/>
      <c r="AA249" s="63"/>
      <c r="AB249" s="63"/>
      <c r="AC249" s="63"/>
      <c r="AD249" s="63"/>
      <c r="AE249" s="63"/>
      <c r="AF249" s="63"/>
      <c r="AG249" s="63"/>
      <c r="AH249" s="63"/>
      <c r="AI249" s="501"/>
      <c r="AJ249" s="63"/>
      <c r="AK249" s="25"/>
      <c r="AL249" s="25"/>
      <c r="AM249" s="25"/>
    </row>
    <row r="250" ht="14" spans="1:39">
      <c r="A250" s="25"/>
      <c r="B250" s="63"/>
      <c r="C250" s="25"/>
      <c r="D250" s="25"/>
      <c r="E250" s="25"/>
      <c r="F250" s="25"/>
      <c r="G250" s="25"/>
      <c r="H250" s="25"/>
      <c r="I250" s="25"/>
      <c r="J250" s="25"/>
      <c r="K250" s="25"/>
      <c r="L250" s="25"/>
      <c r="M250" s="495"/>
      <c r="N250" s="63"/>
      <c r="O250" s="63"/>
      <c r="P250" s="496"/>
      <c r="Q250" s="497"/>
      <c r="R250" s="63"/>
      <c r="S250" s="498"/>
      <c r="T250" s="63"/>
      <c r="U250" s="63"/>
      <c r="V250" s="499"/>
      <c r="W250" s="499"/>
      <c r="X250" s="63"/>
      <c r="Y250" s="63"/>
      <c r="Z250" s="500"/>
      <c r="AA250" s="63"/>
      <c r="AB250" s="63"/>
      <c r="AC250" s="63"/>
      <c r="AD250" s="63"/>
      <c r="AE250" s="63"/>
      <c r="AF250" s="63"/>
      <c r="AG250" s="63"/>
      <c r="AH250" s="63"/>
      <c r="AI250" s="501"/>
      <c r="AJ250" s="63"/>
      <c r="AK250" s="25"/>
      <c r="AL250" s="25"/>
      <c r="AM250" s="25"/>
    </row>
    <row r="251" ht="14" spans="1:39">
      <c r="A251" s="25"/>
      <c r="B251" s="63"/>
      <c r="C251" s="25"/>
      <c r="D251" s="25"/>
      <c r="E251" s="25"/>
      <c r="F251" s="25"/>
      <c r="G251" s="25"/>
      <c r="H251" s="25"/>
      <c r="I251" s="25"/>
      <c r="J251" s="25"/>
      <c r="K251" s="25"/>
      <c r="L251" s="25"/>
      <c r="M251" s="495"/>
      <c r="N251" s="63"/>
      <c r="O251" s="63"/>
      <c r="P251" s="496"/>
      <c r="Q251" s="497"/>
      <c r="R251" s="63"/>
      <c r="S251" s="498"/>
      <c r="T251" s="63"/>
      <c r="U251" s="63"/>
      <c r="V251" s="499"/>
      <c r="W251" s="499"/>
      <c r="X251" s="63"/>
      <c r="Y251" s="63"/>
      <c r="Z251" s="500"/>
      <c r="AA251" s="63"/>
      <c r="AB251" s="63"/>
      <c r="AC251" s="63"/>
      <c r="AD251" s="63"/>
      <c r="AE251" s="63"/>
      <c r="AF251" s="63"/>
      <c r="AG251" s="63"/>
      <c r="AH251" s="63"/>
      <c r="AI251" s="501"/>
      <c r="AJ251" s="63"/>
      <c r="AK251" s="25"/>
      <c r="AL251" s="25"/>
      <c r="AM251" s="25"/>
    </row>
    <row r="252" ht="14" spans="1:39">
      <c r="A252" s="25"/>
      <c r="B252" s="63"/>
      <c r="C252" s="25"/>
      <c r="D252" s="25"/>
      <c r="E252" s="25"/>
      <c r="F252" s="25"/>
      <c r="G252" s="25"/>
      <c r="H252" s="25"/>
      <c r="I252" s="25"/>
      <c r="J252" s="25"/>
      <c r="K252" s="25"/>
      <c r="L252" s="25"/>
      <c r="M252" s="495"/>
      <c r="N252" s="63"/>
      <c r="O252" s="63"/>
      <c r="P252" s="496"/>
      <c r="Q252" s="497"/>
      <c r="R252" s="63"/>
      <c r="S252" s="498"/>
      <c r="T252" s="63"/>
      <c r="U252" s="63"/>
      <c r="V252" s="499"/>
      <c r="W252" s="499"/>
      <c r="X252" s="63"/>
      <c r="Y252" s="63"/>
      <c r="Z252" s="500"/>
      <c r="AA252" s="63"/>
      <c r="AB252" s="63"/>
      <c r="AC252" s="63"/>
      <c r="AD252" s="63"/>
      <c r="AE252" s="63"/>
      <c r="AF252" s="63"/>
      <c r="AG252" s="63"/>
      <c r="AH252" s="63"/>
      <c r="AI252" s="501"/>
      <c r="AJ252" s="63"/>
      <c r="AK252" s="25"/>
      <c r="AL252" s="25"/>
      <c r="AM252" s="25"/>
    </row>
    <row r="253" ht="14" spans="1:39">
      <c r="A253" s="25"/>
      <c r="B253" s="63"/>
      <c r="C253" s="25"/>
      <c r="D253" s="25"/>
      <c r="E253" s="25"/>
      <c r="F253" s="25"/>
      <c r="G253" s="25"/>
      <c r="H253" s="25"/>
      <c r="I253" s="25"/>
      <c r="J253" s="25"/>
      <c r="K253" s="25"/>
      <c r="L253" s="25"/>
      <c r="M253" s="495"/>
      <c r="N253" s="63"/>
      <c r="O253" s="63"/>
      <c r="P253" s="496"/>
      <c r="Q253" s="497"/>
      <c r="R253" s="63"/>
      <c r="S253" s="498"/>
      <c r="T253" s="63"/>
      <c r="U253" s="63"/>
      <c r="V253" s="499"/>
      <c r="W253" s="499"/>
      <c r="X253" s="63"/>
      <c r="Y253" s="63"/>
      <c r="Z253" s="500"/>
      <c r="AA253" s="63"/>
      <c r="AB253" s="63"/>
      <c r="AC253" s="63"/>
      <c r="AD253" s="63"/>
      <c r="AE253" s="63"/>
      <c r="AF253" s="63"/>
      <c r="AG253" s="63"/>
      <c r="AH253" s="63"/>
      <c r="AI253" s="501"/>
      <c r="AJ253" s="63"/>
      <c r="AK253" s="25"/>
      <c r="AL253" s="25"/>
      <c r="AM253" s="25"/>
    </row>
    <row r="254" ht="14" spans="1:39">
      <c r="A254" s="25"/>
      <c r="B254" s="63"/>
      <c r="C254" s="25"/>
      <c r="D254" s="25"/>
      <c r="E254" s="25"/>
      <c r="F254" s="25"/>
      <c r="G254" s="25"/>
      <c r="H254" s="25"/>
      <c r="I254" s="25"/>
      <c r="J254" s="25"/>
      <c r="K254" s="25"/>
      <c r="L254" s="25"/>
      <c r="M254" s="495"/>
      <c r="N254" s="63"/>
      <c r="O254" s="63"/>
      <c r="P254" s="496"/>
      <c r="Q254" s="497"/>
      <c r="R254" s="63"/>
      <c r="S254" s="498"/>
      <c r="T254" s="63"/>
      <c r="U254" s="63"/>
      <c r="V254" s="499"/>
      <c r="W254" s="499"/>
      <c r="X254" s="63"/>
      <c r="Y254" s="63"/>
      <c r="Z254" s="500"/>
      <c r="AA254" s="63"/>
      <c r="AB254" s="63"/>
      <c r="AC254" s="63"/>
      <c r="AD254" s="63"/>
      <c r="AE254" s="63"/>
      <c r="AF254" s="63"/>
      <c r="AG254" s="63"/>
      <c r="AH254" s="63"/>
      <c r="AI254" s="501"/>
      <c r="AJ254" s="63"/>
      <c r="AK254" s="25"/>
      <c r="AL254" s="25"/>
      <c r="AM254" s="25"/>
    </row>
    <row r="255" ht="14" spans="1:39">
      <c r="A255" s="25"/>
      <c r="B255" s="63"/>
      <c r="C255" s="25"/>
      <c r="D255" s="25"/>
      <c r="E255" s="25"/>
      <c r="F255" s="25"/>
      <c r="G255" s="25"/>
      <c r="H255" s="25"/>
      <c r="I255" s="25"/>
      <c r="J255" s="25"/>
      <c r="K255" s="25"/>
      <c r="L255" s="25"/>
      <c r="M255" s="495"/>
      <c r="N255" s="63"/>
      <c r="O255" s="63"/>
      <c r="P255" s="496"/>
      <c r="Q255" s="497"/>
      <c r="R255" s="63"/>
      <c r="S255" s="498"/>
      <c r="T255" s="63"/>
      <c r="U255" s="63"/>
      <c r="V255" s="499"/>
      <c r="W255" s="499"/>
      <c r="X255" s="63"/>
      <c r="Y255" s="63"/>
      <c r="Z255" s="500"/>
      <c r="AA255" s="63"/>
      <c r="AB255" s="63"/>
      <c r="AC255" s="63"/>
      <c r="AD255" s="63"/>
      <c r="AE255" s="63"/>
      <c r="AF255" s="63"/>
      <c r="AG255" s="63"/>
      <c r="AH255" s="63"/>
      <c r="AI255" s="501"/>
      <c r="AJ255" s="63"/>
      <c r="AK255" s="25"/>
      <c r="AL255" s="25"/>
      <c r="AM255" s="25"/>
    </row>
    <row r="256" ht="14" spans="1:39">
      <c r="A256" s="25"/>
      <c r="B256" s="63"/>
      <c r="C256" s="25"/>
      <c r="D256" s="25"/>
      <c r="E256" s="25"/>
      <c r="F256" s="25"/>
      <c r="G256" s="25"/>
      <c r="H256" s="25"/>
      <c r="I256" s="25"/>
      <c r="J256" s="25"/>
      <c r="K256" s="25"/>
      <c r="L256" s="25"/>
      <c r="M256" s="495"/>
      <c r="N256" s="63"/>
      <c r="O256" s="63"/>
      <c r="P256" s="496"/>
      <c r="Q256" s="497"/>
      <c r="R256" s="63"/>
      <c r="S256" s="498"/>
      <c r="T256" s="63"/>
      <c r="U256" s="63"/>
      <c r="V256" s="499"/>
      <c r="W256" s="499"/>
      <c r="X256" s="63"/>
      <c r="Y256" s="63"/>
      <c r="Z256" s="500"/>
      <c r="AA256" s="63"/>
      <c r="AB256" s="63"/>
      <c r="AC256" s="63"/>
      <c r="AD256" s="63"/>
      <c r="AE256" s="63"/>
      <c r="AF256" s="63"/>
      <c r="AG256" s="63"/>
      <c r="AH256" s="63"/>
      <c r="AI256" s="501"/>
      <c r="AJ256" s="63"/>
      <c r="AK256" s="25"/>
      <c r="AL256" s="25"/>
      <c r="AM256" s="25"/>
    </row>
    <row r="257" ht="14" spans="1:39">
      <c r="A257" s="25"/>
      <c r="B257" s="63"/>
      <c r="C257" s="25"/>
      <c r="D257" s="25"/>
      <c r="E257" s="25"/>
      <c r="F257" s="25"/>
      <c r="G257" s="25"/>
      <c r="H257" s="25"/>
      <c r="I257" s="25"/>
      <c r="J257" s="25"/>
      <c r="K257" s="25"/>
      <c r="L257" s="25"/>
      <c r="M257" s="495"/>
      <c r="N257" s="63"/>
      <c r="O257" s="63"/>
      <c r="P257" s="496"/>
      <c r="Q257" s="497"/>
      <c r="R257" s="63"/>
      <c r="S257" s="498"/>
      <c r="T257" s="63"/>
      <c r="U257" s="63"/>
      <c r="V257" s="499"/>
      <c r="W257" s="499"/>
      <c r="X257" s="63"/>
      <c r="Y257" s="63"/>
      <c r="Z257" s="500"/>
      <c r="AA257" s="63"/>
      <c r="AB257" s="63"/>
      <c r="AC257" s="63"/>
      <c r="AD257" s="63"/>
      <c r="AE257" s="63"/>
      <c r="AF257" s="63"/>
      <c r="AG257" s="63"/>
      <c r="AH257" s="63"/>
      <c r="AI257" s="501"/>
      <c r="AJ257" s="63"/>
      <c r="AK257" s="25"/>
      <c r="AL257" s="25"/>
      <c r="AM257" s="25"/>
    </row>
    <row r="258" ht="14" spans="1:39">
      <c r="A258" s="25"/>
      <c r="B258" s="63"/>
      <c r="C258" s="25"/>
      <c r="D258" s="25"/>
      <c r="E258" s="25"/>
      <c r="F258" s="25"/>
      <c r="G258" s="25"/>
      <c r="H258" s="25"/>
      <c r="I258" s="25"/>
      <c r="J258" s="25"/>
      <c r="K258" s="25"/>
      <c r="L258" s="25"/>
      <c r="M258" s="495"/>
      <c r="N258" s="63"/>
      <c r="O258" s="63"/>
      <c r="P258" s="496"/>
      <c r="Q258" s="497"/>
      <c r="R258" s="63"/>
      <c r="S258" s="498"/>
      <c r="T258" s="63"/>
      <c r="U258" s="63"/>
      <c r="V258" s="499"/>
      <c r="W258" s="499"/>
      <c r="X258" s="63"/>
      <c r="Y258" s="63"/>
      <c r="Z258" s="500"/>
      <c r="AA258" s="63"/>
      <c r="AB258" s="63"/>
      <c r="AC258" s="63"/>
      <c r="AD258" s="63"/>
      <c r="AE258" s="63"/>
      <c r="AF258" s="63"/>
      <c r="AG258" s="63"/>
      <c r="AH258" s="63"/>
      <c r="AI258" s="501"/>
      <c r="AJ258" s="63"/>
      <c r="AK258" s="25"/>
      <c r="AL258" s="25"/>
      <c r="AM258" s="25"/>
    </row>
    <row r="259" ht="14" spans="1:39">
      <c r="A259" s="25"/>
      <c r="B259" s="63"/>
      <c r="C259" s="25"/>
      <c r="D259" s="25"/>
      <c r="E259" s="25"/>
      <c r="F259" s="25"/>
      <c r="G259" s="25"/>
      <c r="H259" s="25"/>
      <c r="I259" s="25"/>
      <c r="J259" s="25"/>
      <c r="K259" s="25"/>
      <c r="L259" s="25"/>
      <c r="M259" s="495"/>
      <c r="N259" s="63"/>
      <c r="O259" s="63"/>
      <c r="P259" s="496"/>
      <c r="Q259" s="497"/>
      <c r="R259" s="63"/>
      <c r="S259" s="498"/>
      <c r="T259" s="63"/>
      <c r="U259" s="63"/>
      <c r="V259" s="499"/>
      <c r="W259" s="499"/>
      <c r="X259" s="63"/>
      <c r="Y259" s="63"/>
      <c r="Z259" s="500"/>
      <c r="AA259" s="63"/>
      <c r="AB259" s="63"/>
      <c r="AC259" s="63"/>
      <c r="AD259" s="63"/>
      <c r="AE259" s="63"/>
      <c r="AF259" s="63"/>
      <c r="AG259" s="63"/>
      <c r="AH259" s="63"/>
      <c r="AI259" s="501"/>
      <c r="AJ259" s="63"/>
      <c r="AK259" s="25"/>
      <c r="AL259" s="25"/>
      <c r="AM259" s="25"/>
    </row>
    <row r="260" ht="14" spans="1:39">
      <c r="A260" s="25"/>
      <c r="B260" s="63"/>
      <c r="C260" s="25"/>
      <c r="D260" s="25"/>
      <c r="E260" s="25"/>
      <c r="F260" s="25"/>
      <c r="G260" s="25"/>
      <c r="H260" s="25"/>
      <c r="I260" s="25"/>
      <c r="J260" s="25"/>
      <c r="K260" s="25"/>
      <c r="L260" s="25"/>
      <c r="M260" s="495"/>
      <c r="N260" s="63"/>
      <c r="O260" s="63"/>
      <c r="P260" s="496"/>
      <c r="Q260" s="497"/>
      <c r="R260" s="63"/>
      <c r="S260" s="498"/>
      <c r="T260" s="63"/>
      <c r="U260" s="63"/>
      <c r="V260" s="499"/>
      <c r="W260" s="499"/>
      <c r="X260" s="63"/>
      <c r="Y260" s="63"/>
      <c r="Z260" s="500"/>
      <c r="AA260" s="63"/>
      <c r="AB260" s="63"/>
      <c r="AC260" s="63"/>
      <c r="AD260" s="63"/>
      <c r="AE260" s="63"/>
      <c r="AF260" s="63"/>
      <c r="AG260" s="63"/>
      <c r="AH260" s="63"/>
      <c r="AI260" s="501"/>
      <c r="AJ260" s="63"/>
      <c r="AK260" s="25"/>
      <c r="AL260" s="25"/>
      <c r="AM260" s="25"/>
    </row>
    <row r="261" ht="14" spans="1:39">
      <c r="A261" s="25"/>
      <c r="B261" s="63"/>
      <c r="C261" s="25"/>
      <c r="D261" s="25"/>
      <c r="E261" s="25"/>
      <c r="F261" s="25"/>
      <c r="G261" s="25"/>
      <c r="H261" s="25"/>
      <c r="I261" s="25"/>
      <c r="J261" s="25"/>
      <c r="K261" s="25"/>
      <c r="L261" s="25"/>
      <c r="M261" s="495"/>
      <c r="N261" s="63"/>
      <c r="O261" s="63"/>
      <c r="P261" s="496"/>
      <c r="Q261" s="497"/>
      <c r="R261" s="63"/>
      <c r="S261" s="498"/>
      <c r="T261" s="63"/>
      <c r="U261" s="63"/>
      <c r="V261" s="499"/>
      <c r="W261" s="499"/>
      <c r="X261" s="63"/>
      <c r="Y261" s="63"/>
      <c r="Z261" s="500"/>
      <c r="AA261" s="63"/>
      <c r="AB261" s="63"/>
      <c r="AC261" s="63"/>
      <c r="AD261" s="63"/>
      <c r="AE261" s="63"/>
      <c r="AF261" s="63"/>
      <c r="AG261" s="63"/>
      <c r="AH261" s="63"/>
      <c r="AI261" s="501"/>
      <c r="AJ261" s="63"/>
      <c r="AK261" s="25"/>
      <c r="AL261" s="25"/>
      <c r="AM261" s="25"/>
    </row>
    <row r="262" ht="14" spans="1:39">
      <c r="A262" s="25"/>
      <c r="B262" s="63"/>
      <c r="C262" s="25"/>
      <c r="D262" s="25"/>
      <c r="E262" s="25"/>
      <c r="F262" s="25"/>
      <c r="G262" s="25"/>
      <c r="H262" s="25"/>
      <c r="I262" s="25"/>
      <c r="J262" s="25"/>
      <c r="K262" s="25"/>
      <c r="L262" s="25"/>
      <c r="M262" s="495"/>
      <c r="N262" s="63"/>
      <c r="O262" s="63"/>
      <c r="P262" s="496"/>
      <c r="Q262" s="497"/>
      <c r="R262" s="63"/>
      <c r="S262" s="498"/>
      <c r="T262" s="63"/>
      <c r="U262" s="63"/>
      <c r="V262" s="499"/>
      <c r="W262" s="499"/>
      <c r="X262" s="63"/>
      <c r="Y262" s="63"/>
      <c r="Z262" s="500"/>
      <c r="AA262" s="63"/>
      <c r="AB262" s="63"/>
      <c r="AC262" s="63"/>
      <c r="AD262" s="63"/>
      <c r="AE262" s="63"/>
      <c r="AF262" s="63"/>
      <c r="AG262" s="63"/>
      <c r="AH262" s="63"/>
      <c r="AI262" s="501"/>
      <c r="AJ262" s="63"/>
      <c r="AK262" s="25"/>
      <c r="AL262" s="25"/>
      <c r="AM262" s="25"/>
    </row>
    <row r="263" ht="14" spans="1:39">
      <c r="A263" s="25"/>
      <c r="B263" s="63"/>
      <c r="C263" s="25"/>
      <c r="D263" s="25"/>
      <c r="E263" s="25"/>
      <c r="F263" s="25"/>
      <c r="G263" s="25"/>
      <c r="H263" s="25"/>
      <c r="I263" s="25"/>
      <c r="J263" s="25"/>
      <c r="K263" s="25"/>
      <c r="L263" s="25"/>
      <c r="M263" s="495"/>
      <c r="N263" s="63"/>
      <c r="O263" s="63"/>
      <c r="P263" s="496"/>
      <c r="Q263" s="497"/>
      <c r="R263" s="63"/>
      <c r="S263" s="498"/>
      <c r="T263" s="63"/>
      <c r="U263" s="63"/>
      <c r="V263" s="499"/>
      <c r="W263" s="499"/>
      <c r="X263" s="63"/>
      <c r="Y263" s="63"/>
      <c r="Z263" s="500"/>
      <c r="AA263" s="63"/>
      <c r="AB263" s="63"/>
      <c r="AC263" s="63"/>
      <c r="AD263" s="63"/>
      <c r="AE263" s="63"/>
      <c r="AF263" s="63"/>
      <c r="AG263" s="63"/>
      <c r="AH263" s="63"/>
      <c r="AI263" s="501"/>
      <c r="AJ263" s="63"/>
      <c r="AK263" s="25"/>
      <c r="AL263" s="25"/>
      <c r="AM263" s="25"/>
    </row>
    <row r="264" ht="14" spans="1:39">
      <c r="A264" s="25"/>
      <c r="B264" s="63"/>
      <c r="C264" s="25"/>
      <c r="D264" s="25"/>
      <c r="E264" s="25"/>
      <c r="F264" s="25"/>
      <c r="G264" s="25"/>
      <c r="H264" s="25"/>
      <c r="I264" s="25"/>
      <c r="J264" s="25"/>
      <c r="K264" s="25"/>
      <c r="L264" s="25"/>
      <c r="M264" s="495"/>
      <c r="N264" s="63"/>
      <c r="O264" s="63"/>
      <c r="P264" s="496"/>
      <c r="Q264" s="497"/>
      <c r="R264" s="63"/>
      <c r="S264" s="498"/>
      <c r="T264" s="63"/>
      <c r="U264" s="63"/>
      <c r="V264" s="499"/>
      <c r="W264" s="499"/>
      <c r="X264" s="63"/>
      <c r="Y264" s="63"/>
      <c r="Z264" s="500"/>
      <c r="AA264" s="63"/>
      <c r="AB264" s="63"/>
      <c r="AC264" s="63"/>
      <c r="AD264" s="63"/>
      <c r="AE264" s="63"/>
      <c r="AF264" s="63"/>
      <c r="AG264" s="63"/>
      <c r="AH264" s="63"/>
      <c r="AI264" s="501"/>
      <c r="AJ264" s="63"/>
      <c r="AK264" s="25"/>
      <c r="AL264" s="25"/>
      <c r="AM264" s="25"/>
    </row>
    <row r="265" ht="14" spans="1:39">
      <c r="A265" s="25"/>
      <c r="B265" s="63"/>
      <c r="C265" s="25"/>
      <c r="D265" s="25"/>
      <c r="E265" s="25"/>
      <c r="F265" s="25"/>
      <c r="G265" s="25"/>
      <c r="H265" s="25"/>
      <c r="I265" s="25"/>
      <c r="J265" s="25"/>
      <c r="K265" s="25"/>
      <c r="L265" s="25"/>
      <c r="M265" s="495"/>
      <c r="N265" s="63"/>
      <c r="O265" s="63"/>
      <c r="P265" s="496"/>
      <c r="Q265" s="497"/>
      <c r="R265" s="63"/>
      <c r="S265" s="498"/>
      <c r="T265" s="63"/>
      <c r="U265" s="63"/>
      <c r="V265" s="499"/>
      <c r="W265" s="499"/>
      <c r="X265" s="63"/>
      <c r="Y265" s="63"/>
      <c r="Z265" s="500"/>
      <c r="AA265" s="63"/>
      <c r="AB265" s="63"/>
      <c r="AC265" s="63"/>
      <c r="AD265" s="63"/>
      <c r="AE265" s="63"/>
      <c r="AF265" s="63"/>
      <c r="AG265" s="63"/>
      <c r="AH265" s="63"/>
      <c r="AI265" s="501"/>
      <c r="AJ265" s="63"/>
      <c r="AK265" s="25"/>
      <c r="AL265" s="25"/>
      <c r="AM265" s="25"/>
    </row>
    <row r="266" ht="14" spans="1:39">
      <c r="A266" s="25"/>
      <c r="B266" s="63"/>
      <c r="C266" s="25"/>
      <c r="D266" s="25"/>
      <c r="E266" s="25"/>
      <c r="F266" s="25"/>
      <c r="G266" s="25"/>
      <c r="H266" s="25"/>
      <c r="I266" s="25"/>
      <c r="J266" s="25"/>
      <c r="K266" s="25"/>
      <c r="L266" s="25"/>
      <c r="M266" s="495"/>
      <c r="N266" s="63"/>
      <c r="O266" s="63"/>
      <c r="P266" s="496"/>
      <c r="Q266" s="497"/>
      <c r="R266" s="63"/>
      <c r="S266" s="498"/>
      <c r="T266" s="63"/>
      <c r="U266" s="63"/>
      <c r="V266" s="499"/>
      <c r="W266" s="499"/>
      <c r="X266" s="63"/>
      <c r="Y266" s="63"/>
      <c r="Z266" s="500"/>
      <c r="AA266" s="63"/>
      <c r="AB266" s="63"/>
      <c r="AC266" s="63"/>
      <c r="AD266" s="63"/>
      <c r="AE266" s="63"/>
      <c r="AF266" s="63"/>
      <c r="AG266" s="63"/>
      <c r="AH266" s="63"/>
      <c r="AI266" s="501"/>
      <c r="AJ266" s="63"/>
      <c r="AK266" s="25"/>
      <c r="AL266" s="25"/>
      <c r="AM266" s="25"/>
    </row>
    <row r="267" ht="14" spans="1:39">
      <c r="A267" s="25"/>
      <c r="B267" s="63"/>
      <c r="C267" s="25"/>
      <c r="D267" s="25"/>
      <c r="E267" s="25"/>
      <c r="F267" s="25"/>
      <c r="G267" s="25"/>
      <c r="H267" s="25"/>
      <c r="I267" s="25"/>
      <c r="J267" s="25"/>
      <c r="K267" s="25"/>
      <c r="L267" s="25"/>
      <c r="M267" s="495"/>
      <c r="N267" s="63"/>
      <c r="O267" s="63"/>
      <c r="P267" s="496"/>
      <c r="Q267" s="497"/>
      <c r="R267" s="63"/>
      <c r="S267" s="498"/>
      <c r="T267" s="63"/>
      <c r="U267" s="63"/>
      <c r="V267" s="499"/>
      <c r="W267" s="499"/>
      <c r="X267" s="63"/>
      <c r="Y267" s="63"/>
      <c r="Z267" s="500"/>
      <c r="AA267" s="63"/>
      <c r="AB267" s="63"/>
      <c r="AC267" s="63"/>
      <c r="AD267" s="63"/>
      <c r="AE267" s="63"/>
      <c r="AF267" s="63"/>
      <c r="AG267" s="63"/>
      <c r="AH267" s="63"/>
      <c r="AI267" s="501"/>
      <c r="AJ267" s="63"/>
      <c r="AK267" s="25"/>
      <c r="AL267" s="25"/>
      <c r="AM267" s="25"/>
    </row>
    <row r="268" ht="14" spans="1:39">
      <c r="A268" s="25"/>
      <c r="B268" s="63"/>
      <c r="C268" s="25"/>
      <c r="D268" s="25"/>
      <c r="E268" s="25"/>
      <c r="F268" s="25"/>
      <c r="G268" s="25"/>
      <c r="H268" s="25"/>
      <c r="I268" s="25"/>
      <c r="J268" s="25"/>
      <c r="K268" s="25"/>
      <c r="L268" s="25"/>
      <c r="M268" s="495"/>
      <c r="N268" s="63"/>
      <c r="O268" s="63"/>
      <c r="P268" s="496"/>
      <c r="Q268" s="497"/>
      <c r="R268" s="63"/>
      <c r="S268" s="498"/>
      <c r="T268" s="63"/>
      <c r="U268" s="63"/>
      <c r="V268" s="499"/>
      <c r="W268" s="499"/>
      <c r="X268" s="63"/>
      <c r="Y268" s="63"/>
      <c r="Z268" s="500"/>
      <c r="AA268" s="63"/>
      <c r="AB268" s="63"/>
      <c r="AC268" s="63"/>
      <c r="AD268" s="63"/>
      <c r="AE268" s="63"/>
      <c r="AF268" s="63"/>
      <c r="AG268" s="63"/>
      <c r="AH268" s="63"/>
      <c r="AI268" s="501"/>
      <c r="AJ268" s="63"/>
      <c r="AK268" s="25"/>
      <c r="AL268" s="25"/>
      <c r="AM268" s="25"/>
    </row>
    <row r="269" ht="14" spans="1:39">
      <c r="A269" s="25"/>
      <c r="B269" s="63"/>
      <c r="C269" s="25"/>
      <c r="D269" s="25"/>
      <c r="E269" s="25"/>
      <c r="F269" s="25"/>
      <c r="G269" s="25"/>
      <c r="H269" s="25"/>
      <c r="I269" s="25"/>
      <c r="J269" s="25"/>
      <c r="K269" s="25"/>
      <c r="L269" s="25"/>
      <c r="M269" s="495"/>
      <c r="N269" s="63"/>
      <c r="O269" s="63"/>
      <c r="P269" s="496"/>
      <c r="Q269" s="497"/>
      <c r="R269" s="63"/>
      <c r="S269" s="498"/>
      <c r="T269" s="63"/>
      <c r="U269" s="63"/>
      <c r="V269" s="499"/>
      <c r="W269" s="499"/>
      <c r="X269" s="63"/>
      <c r="Y269" s="63"/>
      <c r="Z269" s="500"/>
      <c r="AA269" s="63"/>
      <c r="AB269" s="63"/>
      <c r="AC269" s="63"/>
      <c r="AD269" s="63"/>
      <c r="AE269" s="63"/>
      <c r="AF269" s="63"/>
      <c r="AG269" s="63"/>
      <c r="AH269" s="63"/>
      <c r="AI269" s="501"/>
      <c r="AJ269" s="63"/>
      <c r="AK269" s="25"/>
      <c r="AL269" s="25"/>
      <c r="AM269" s="25"/>
    </row>
    <row r="270" ht="14" spans="1:39">
      <c r="A270" s="25"/>
      <c r="B270" s="63"/>
      <c r="C270" s="25"/>
      <c r="D270" s="25"/>
      <c r="E270" s="25"/>
      <c r="F270" s="25"/>
      <c r="G270" s="25"/>
      <c r="H270" s="25"/>
      <c r="I270" s="25"/>
      <c r="J270" s="25"/>
      <c r="K270" s="25"/>
      <c r="L270" s="25"/>
      <c r="M270" s="495"/>
      <c r="N270" s="63"/>
      <c r="O270" s="63"/>
      <c r="P270" s="496"/>
      <c r="Q270" s="497"/>
      <c r="R270" s="63"/>
      <c r="S270" s="498"/>
      <c r="T270" s="63"/>
      <c r="U270" s="63"/>
      <c r="V270" s="499"/>
      <c r="W270" s="499"/>
      <c r="X270" s="63"/>
      <c r="Y270" s="63"/>
      <c r="Z270" s="500"/>
      <c r="AA270" s="63"/>
      <c r="AB270" s="63"/>
      <c r="AC270" s="63"/>
      <c r="AD270" s="63"/>
      <c r="AE270" s="63"/>
      <c r="AF270" s="63"/>
      <c r="AG270" s="63"/>
      <c r="AH270" s="63"/>
      <c r="AI270" s="501"/>
      <c r="AJ270" s="63"/>
      <c r="AK270" s="25"/>
      <c r="AL270" s="25"/>
      <c r="AM270" s="25"/>
    </row>
    <row r="271" ht="14" spans="1:39">
      <c r="A271" s="25"/>
      <c r="B271" s="63"/>
      <c r="C271" s="25"/>
      <c r="D271" s="25"/>
      <c r="E271" s="25"/>
      <c r="F271" s="25"/>
      <c r="G271" s="25"/>
      <c r="H271" s="25"/>
      <c r="I271" s="25"/>
      <c r="J271" s="25"/>
      <c r="K271" s="25"/>
      <c r="L271" s="25"/>
      <c r="M271" s="495"/>
      <c r="N271" s="63"/>
      <c r="O271" s="63"/>
      <c r="P271" s="496"/>
      <c r="Q271" s="497"/>
      <c r="R271" s="63"/>
      <c r="S271" s="498"/>
      <c r="T271" s="63"/>
      <c r="U271" s="63"/>
      <c r="V271" s="499"/>
      <c r="W271" s="499"/>
      <c r="X271" s="63"/>
      <c r="Y271" s="63"/>
      <c r="Z271" s="500"/>
      <c r="AA271" s="63"/>
      <c r="AB271" s="63"/>
      <c r="AC271" s="63"/>
      <c r="AD271" s="63"/>
      <c r="AE271" s="63"/>
      <c r="AF271" s="63"/>
      <c r="AG271" s="63"/>
      <c r="AH271" s="63"/>
      <c r="AI271" s="501"/>
      <c r="AJ271" s="63"/>
      <c r="AK271" s="25"/>
      <c r="AL271" s="25"/>
      <c r="AM271" s="25"/>
    </row>
    <row r="272" ht="14" spans="1:39">
      <c r="A272" s="25"/>
      <c r="B272" s="63"/>
      <c r="C272" s="25"/>
      <c r="D272" s="25"/>
      <c r="E272" s="25"/>
      <c r="F272" s="25"/>
      <c r="G272" s="25"/>
      <c r="H272" s="25"/>
      <c r="I272" s="25"/>
      <c r="J272" s="25"/>
      <c r="K272" s="25"/>
      <c r="L272" s="25"/>
      <c r="M272" s="495"/>
      <c r="N272" s="63"/>
      <c r="O272" s="63"/>
      <c r="P272" s="496"/>
      <c r="Q272" s="497"/>
      <c r="R272" s="63"/>
      <c r="S272" s="498"/>
      <c r="T272" s="63"/>
      <c r="U272" s="63"/>
      <c r="V272" s="499"/>
      <c r="W272" s="499"/>
      <c r="X272" s="63"/>
      <c r="Y272" s="63"/>
      <c r="Z272" s="500"/>
      <c r="AA272" s="63"/>
      <c r="AB272" s="63"/>
      <c r="AC272" s="63"/>
      <c r="AD272" s="63"/>
      <c r="AE272" s="63"/>
      <c r="AF272" s="63"/>
      <c r="AG272" s="63"/>
      <c r="AH272" s="63"/>
      <c r="AI272" s="501"/>
      <c r="AJ272" s="63"/>
      <c r="AK272" s="25"/>
      <c r="AL272" s="25"/>
      <c r="AM272" s="25"/>
    </row>
    <row r="273" ht="14" spans="1:39">
      <c r="A273" s="25"/>
      <c r="B273" s="63"/>
      <c r="C273" s="25"/>
      <c r="D273" s="25"/>
      <c r="E273" s="25"/>
      <c r="F273" s="25"/>
      <c r="G273" s="25"/>
      <c r="H273" s="25"/>
      <c r="I273" s="25"/>
      <c r="J273" s="25"/>
      <c r="K273" s="25"/>
      <c r="L273" s="25"/>
      <c r="M273" s="495"/>
      <c r="N273" s="63"/>
      <c r="O273" s="63"/>
      <c r="P273" s="496"/>
      <c r="Q273" s="497"/>
      <c r="R273" s="63"/>
      <c r="S273" s="498"/>
      <c r="T273" s="63"/>
      <c r="U273" s="63"/>
      <c r="V273" s="499"/>
      <c r="W273" s="499"/>
      <c r="X273" s="63"/>
      <c r="Y273" s="63"/>
      <c r="Z273" s="500"/>
      <c r="AA273" s="63"/>
      <c r="AB273" s="63"/>
      <c r="AC273" s="63"/>
      <c r="AD273" s="63"/>
      <c r="AE273" s="63"/>
      <c r="AF273" s="63"/>
      <c r="AG273" s="63"/>
      <c r="AH273" s="63"/>
      <c r="AI273" s="501"/>
      <c r="AJ273" s="63"/>
      <c r="AK273" s="25"/>
      <c r="AL273" s="25"/>
      <c r="AM273" s="25"/>
    </row>
    <row r="274" ht="14" spans="1:39">
      <c r="A274" s="25"/>
      <c r="B274" s="63"/>
      <c r="C274" s="25"/>
      <c r="D274" s="25"/>
      <c r="E274" s="25"/>
      <c r="F274" s="25"/>
      <c r="G274" s="25"/>
      <c r="H274" s="25"/>
      <c r="I274" s="25"/>
      <c r="J274" s="25"/>
      <c r="K274" s="25"/>
      <c r="L274" s="25"/>
      <c r="M274" s="495"/>
      <c r="N274" s="63"/>
      <c r="O274" s="63"/>
      <c r="P274" s="496"/>
      <c r="Q274" s="497"/>
      <c r="R274" s="63"/>
      <c r="S274" s="498"/>
      <c r="T274" s="63"/>
      <c r="U274" s="63"/>
      <c r="V274" s="499"/>
      <c r="W274" s="499"/>
      <c r="X274" s="63"/>
      <c r="Y274" s="63"/>
      <c r="Z274" s="500"/>
      <c r="AA274" s="63"/>
      <c r="AB274" s="63"/>
      <c r="AC274" s="63"/>
      <c r="AD274" s="63"/>
      <c r="AE274" s="63"/>
      <c r="AF274" s="63"/>
      <c r="AG274" s="63"/>
      <c r="AH274" s="63"/>
      <c r="AI274" s="501"/>
      <c r="AJ274" s="63"/>
      <c r="AK274" s="25"/>
      <c r="AL274" s="25"/>
      <c r="AM274" s="25"/>
    </row>
    <row r="275" ht="14" spans="1:39">
      <c r="A275" s="25"/>
      <c r="B275" s="63"/>
      <c r="C275" s="25"/>
      <c r="D275" s="25"/>
      <c r="E275" s="25"/>
      <c r="F275" s="25"/>
      <c r="G275" s="25"/>
      <c r="H275" s="25"/>
      <c r="I275" s="25"/>
      <c r="J275" s="25"/>
      <c r="K275" s="25"/>
      <c r="L275" s="25"/>
      <c r="M275" s="495"/>
      <c r="N275" s="63"/>
      <c r="O275" s="63"/>
      <c r="P275" s="496"/>
      <c r="Q275" s="497"/>
      <c r="R275" s="63"/>
      <c r="S275" s="498"/>
      <c r="T275" s="63"/>
      <c r="U275" s="63"/>
      <c r="V275" s="499"/>
      <c r="W275" s="499"/>
      <c r="X275" s="63"/>
      <c r="Y275" s="63"/>
      <c r="Z275" s="500"/>
      <c r="AA275" s="63"/>
      <c r="AB275" s="63"/>
      <c r="AC275" s="63"/>
      <c r="AD275" s="63"/>
      <c r="AE275" s="63"/>
      <c r="AF275" s="63"/>
      <c r="AG275" s="63"/>
      <c r="AH275" s="63"/>
      <c r="AI275" s="501"/>
      <c r="AJ275" s="63"/>
      <c r="AK275" s="25"/>
      <c r="AL275" s="25"/>
      <c r="AM275" s="25"/>
    </row>
    <row r="276" ht="14" spans="1:39">
      <c r="A276" s="25"/>
      <c r="B276" s="63"/>
      <c r="C276" s="25"/>
      <c r="D276" s="25"/>
      <c r="E276" s="25"/>
      <c r="F276" s="25"/>
      <c r="G276" s="25"/>
      <c r="H276" s="25"/>
      <c r="I276" s="25"/>
      <c r="J276" s="25"/>
      <c r="K276" s="25"/>
      <c r="L276" s="25"/>
      <c r="M276" s="495"/>
      <c r="N276" s="63"/>
      <c r="O276" s="63"/>
      <c r="P276" s="496"/>
      <c r="Q276" s="497"/>
      <c r="R276" s="63"/>
      <c r="S276" s="498"/>
      <c r="T276" s="63"/>
      <c r="U276" s="63"/>
      <c r="V276" s="499"/>
      <c r="W276" s="499"/>
      <c r="X276" s="63"/>
      <c r="Y276" s="63"/>
      <c r="Z276" s="500"/>
      <c r="AA276" s="63"/>
      <c r="AB276" s="63"/>
      <c r="AC276" s="63"/>
      <c r="AD276" s="63"/>
      <c r="AE276" s="63"/>
      <c r="AF276" s="63"/>
      <c r="AG276" s="63"/>
      <c r="AH276" s="63"/>
      <c r="AI276" s="501"/>
      <c r="AJ276" s="63"/>
      <c r="AK276" s="25"/>
      <c r="AL276" s="25"/>
      <c r="AM276" s="25"/>
    </row>
    <row r="277" ht="14" spans="1:39">
      <c r="A277" s="25"/>
      <c r="B277" s="63"/>
      <c r="C277" s="25"/>
      <c r="D277" s="25"/>
      <c r="E277" s="25"/>
      <c r="F277" s="25"/>
      <c r="G277" s="25"/>
      <c r="H277" s="25"/>
      <c r="I277" s="25"/>
      <c r="J277" s="25"/>
      <c r="K277" s="25"/>
      <c r="L277" s="25"/>
      <c r="M277" s="495"/>
      <c r="N277" s="63"/>
      <c r="O277" s="63"/>
      <c r="P277" s="496"/>
      <c r="Q277" s="497"/>
      <c r="R277" s="63"/>
      <c r="S277" s="498"/>
      <c r="T277" s="63"/>
      <c r="U277" s="63"/>
      <c r="V277" s="499"/>
      <c r="W277" s="499"/>
      <c r="X277" s="63"/>
      <c r="Y277" s="63"/>
      <c r="Z277" s="500"/>
      <c r="AA277" s="63"/>
      <c r="AB277" s="63"/>
      <c r="AC277" s="63"/>
      <c r="AD277" s="63"/>
      <c r="AE277" s="63"/>
      <c r="AF277" s="63"/>
      <c r="AG277" s="63"/>
      <c r="AH277" s="63"/>
      <c r="AI277" s="501"/>
      <c r="AJ277" s="63"/>
      <c r="AK277" s="25"/>
      <c r="AL277" s="25"/>
      <c r="AM277" s="25"/>
    </row>
    <row r="278" ht="14" spans="1:39">
      <c r="A278" s="25"/>
      <c r="B278" s="63"/>
      <c r="C278" s="25"/>
      <c r="D278" s="25"/>
      <c r="E278" s="25"/>
      <c r="F278" s="25"/>
      <c r="G278" s="25"/>
      <c r="H278" s="25"/>
      <c r="I278" s="25"/>
      <c r="J278" s="25"/>
      <c r="K278" s="25"/>
      <c r="L278" s="25"/>
      <c r="M278" s="495"/>
      <c r="N278" s="63"/>
      <c r="O278" s="63"/>
      <c r="P278" s="496"/>
      <c r="Q278" s="497"/>
      <c r="R278" s="63"/>
      <c r="S278" s="498"/>
      <c r="T278" s="63"/>
      <c r="U278" s="63"/>
      <c r="V278" s="499"/>
      <c r="W278" s="499"/>
      <c r="X278" s="63"/>
      <c r="Y278" s="63"/>
      <c r="Z278" s="500"/>
      <c r="AA278" s="63"/>
      <c r="AB278" s="63"/>
      <c r="AC278" s="63"/>
      <c r="AD278" s="63"/>
      <c r="AE278" s="63"/>
      <c r="AF278" s="63"/>
      <c r="AG278" s="63"/>
      <c r="AH278" s="63"/>
      <c r="AI278" s="501"/>
      <c r="AJ278" s="63"/>
      <c r="AK278" s="25"/>
      <c r="AL278" s="25"/>
      <c r="AM278" s="25"/>
    </row>
    <row r="279" ht="14" spans="1:39">
      <c r="A279" s="25"/>
      <c r="B279" s="63"/>
      <c r="C279" s="25"/>
      <c r="D279" s="25"/>
      <c r="E279" s="25"/>
      <c r="F279" s="25"/>
      <c r="G279" s="25"/>
      <c r="H279" s="25"/>
      <c r="I279" s="25"/>
      <c r="J279" s="25"/>
      <c r="K279" s="25"/>
      <c r="L279" s="25"/>
      <c r="M279" s="495"/>
      <c r="N279" s="63"/>
      <c r="O279" s="63"/>
      <c r="P279" s="496"/>
      <c r="Q279" s="497"/>
      <c r="R279" s="63"/>
      <c r="S279" s="498"/>
      <c r="T279" s="63"/>
      <c r="U279" s="63"/>
      <c r="V279" s="499"/>
      <c r="W279" s="499"/>
      <c r="X279" s="63"/>
      <c r="Y279" s="63"/>
      <c r="Z279" s="500"/>
      <c r="AA279" s="63"/>
      <c r="AB279" s="63"/>
      <c r="AC279" s="63"/>
      <c r="AD279" s="63"/>
      <c r="AE279" s="63"/>
      <c r="AF279" s="63"/>
      <c r="AG279" s="63"/>
      <c r="AH279" s="63"/>
      <c r="AI279" s="501"/>
      <c r="AJ279" s="63"/>
      <c r="AK279" s="25"/>
      <c r="AL279" s="25"/>
      <c r="AM279" s="25"/>
    </row>
    <row r="280" ht="14" spans="1:39">
      <c r="A280" s="25"/>
      <c r="B280" s="63"/>
      <c r="C280" s="25"/>
      <c r="D280" s="25"/>
      <c r="E280" s="25"/>
      <c r="F280" s="25"/>
      <c r="G280" s="25"/>
      <c r="H280" s="25"/>
      <c r="I280" s="25"/>
      <c r="J280" s="25"/>
      <c r="K280" s="25"/>
      <c r="L280" s="25"/>
      <c r="M280" s="495"/>
      <c r="N280" s="63"/>
      <c r="O280" s="63"/>
      <c r="P280" s="496"/>
      <c r="Q280" s="497"/>
      <c r="R280" s="63"/>
      <c r="S280" s="498"/>
      <c r="T280" s="63"/>
      <c r="U280" s="63"/>
      <c r="V280" s="499"/>
      <c r="W280" s="499"/>
      <c r="X280" s="63"/>
      <c r="Y280" s="63"/>
      <c r="Z280" s="500"/>
      <c r="AA280" s="63"/>
      <c r="AB280" s="63"/>
      <c r="AC280" s="63"/>
      <c r="AD280" s="63"/>
      <c r="AE280" s="63"/>
      <c r="AF280" s="63"/>
      <c r="AG280" s="63"/>
      <c r="AH280" s="63"/>
      <c r="AI280" s="501"/>
      <c r="AJ280" s="63"/>
      <c r="AK280" s="25"/>
      <c r="AL280" s="25"/>
      <c r="AM280" s="25"/>
    </row>
    <row r="281" ht="14" spans="1:39">
      <c r="A281" s="25"/>
      <c r="B281" s="63"/>
      <c r="C281" s="25"/>
      <c r="D281" s="25"/>
      <c r="E281" s="25"/>
      <c r="F281" s="25"/>
      <c r="G281" s="25"/>
      <c r="H281" s="25"/>
      <c r="I281" s="25"/>
      <c r="J281" s="25"/>
      <c r="K281" s="25"/>
      <c r="L281" s="25"/>
      <c r="M281" s="495"/>
      <c r="N281" s="63"/>
      <c r="O281" s="63"/>
      <c r="P281" s="496"/>
      <c r="Q281" s="497"/>
      <c r="R281" s="63"/>
      <c r="S281" s="498"/>
      <c r="T281" s="63"/>
      <c r="U281" s="63"/>
      <c r="V281" s="499"/>
      <c r="W281" s="499"/>
      <c r="X281" s="63"/>
      <c r="Y281" s="63"/>
      <c r="Z281" s="500"/>
      <c r="AA281" s="63"/>
      <c r="AB281" s="63"/>
      <c r="AC281" s="63"/>
      <c r="AD281" s="63"/>
      <c r="AE281" s="63"/>
      <c r="AF281" s="63"/>
      <c r="AG281" s="63"/>
      <c r="AH281" s="63"/>
      <c r="AI281" s="501"/>
      <c r="AJ281" s="63"/>
      <c r="AK281" s="25"/>
      <c r="AL281" s="25"/>
      <c r="AM281" s="25"/>
    </row>
    <row r="282" ht="14" spans="1:39">
      <c r="A282" s="25"/>
      <c r="B282" s="63"/>
      <c r="C282" s="25"/>
      <c r="D282" s="25"/>
      <c r="E282" s="25"/>
      <c r="F282" s="25"/>
      <c r="G282" s="25"/>
      <c r="H282" s="25"/>
      <c r="I282" s="25"/>
      <c r="J282" s="25"/>
      <c r="K282" s="25"/>
      <c r="L282" s="25"/>
      <c r="M282" s="495"/>
      <c r="N282" s="63"/>
      <c r="O282" s="63"/>
      <c r="P282" s="496"/>
      <c r="Q282" s="497"/>
      <c r="R282" s="63"/>
      <c r="S282" s="498"/>
      <c r="T282" s="63"/>
      <c r="U282" s="63"/>
      <c r="V282" s="499"/>
      <c r="W282" s="499"/>
      <c r="X282" s="63"/>
      <c r="Y282" s="63"/>
      <c r="Z282" s="500"/>
      <c r="AA282" s="63"/>
      <c r="AB282" s="63"/>
      <c r="AC282" s="63"/>
      <c r="AD282" s="63"/>
      <c r="AE282" s="63"/>
      <c r="AF282" s="63"/>
      <c r="AG282" s="63"/>
      <c r="AH282" s="63"/>
      <c r="AI282" s="501"/>
      <c r="AJ282" s="63"/>
      <c r="AK282" s="25"/>
      <c r="AL282" s="25"/>
      <c r="AM282" s="25"/>
    </row>
    <row r="283" ht="14" spans="1:39">
      <c r="A283" s="25"/>
      <c r="B283" s="63"/>
      <c r="C283" s="25"/>
      <c r="D283" s="25"/>
      <c r="E283" s="25"/>
      <c r="F283" s="25"/>
      <c r="G283" s="25"/>
      <c r="H283" s="25"/>
      <c r="I283" s="25"/>
      <c r="J283" s="25"/>
      <c r="K283" s="25"/>
      <c r="L283" s="25"/>
      <c r="M283" s="495"/>
      <c r="N283" s="63"/>
      <c r="O283" s="63"/>
      <c r="P283" s="496"/>
      <c r="Q283" s="497"/>
      <c r="R283" s="63"/>
      <c r="S283" s="498"/>
      <c r="T283" s="63"/>
      <c r="U283" s="63"/>
      <c r="V283" s="499"/>
      <c r="W283" s="499"/>
      <c r="X283" s="63"/>
      <c r="Y283" s="63"/>
      <c r="Z283" s="500"/>
      <c r="AA283" s="63"/>
      <c r="AB283" s="63"/>
      <c r="AC283" s="63"/>
      <c r="AD283" s="63"/>
      <c r="AE283" s="63"/>
      <c r="AF283" s="63"/>
      <c r="AG283" s="63"/>
      <c r="AH283" s="63"/>
      <c r="AI283" s="501"/>
      <c r="AJ283" s="63"/>
      <c r="AK283" s="25"/>
      <c r="AL283" s="25"/>
      <c r="AM283" s="25"/>
    </row>
    <row r="284" ht="14" spans="1:39">
      <c r="A284" s="25"/>
      <c r="B284" s="63"/>
      <c r="C284" s="25"/>
      <c r="D284" s="25"/>
      <c r="E284" s="25"/>
      <c r="F284" s="25"/>
      <c r="G284" s="25"/>
      <c r="H284" s="25"/>
      <c r="I284" s="25"/>
      <c r="J284" s="25"/>
      <c r="K284" s="25"/>
      <c r="L284" s="25"/>
      <c r="M284" s="495"/>
      <c r="N284" s="63"/>
      <c r="O284" s="63"/>
      <c r="P284" s="496"/>
      <c r="Q284" s="497"/>
      <c r="R284" s="63"/>
      <c r="S284" s="498"/>
      <c r="T284" s="63"/>
      <c r="U284" s="63"/>
      <c r="V284" s="499"/>
      <c r="W284" s="499"/>
      <c r="X284" s="63"/>
      <c r="Y284" s="63"/>
      <c r="Z284" s="500"/>
      <c r="AA284" s="63"/>
      <c r="AB284" s="63"/>
      <c r="AC284" s="63"/>
      <c r="AD284" s="63"/>
      <c r="AE284" s="63"/>
      <c r="AF284" s="63"/>
      <c r="AG284" s="63"/>
      <c r="AH284" s="63"/>
      <c r="AI284" s="501"/>
      <c r="AJ284" s="63"/>
      <c r="AK284" s="25"/>
      <c r="AL284" s="25"/>
      <c r="AM284" s="25"/>
    </row>
    <row r="285" ht="14" spans="1:39">
      <c r="A285" s="25"/>
      <c r="B285" s="63"/>
      <c r="C285" s="25"/>
      <c r="D285" s="25"/>
      <c r="E285" s="25"/>
      <c r="F285" s="25"/>
      <c r="G285" s="25"/>
      <c r="H285" s="25"/>
      <c r="I285" s="25"/>
      <c r="J285" s="25"/>
      <c r="K285" s="25"/>
      <c r="L285" s="25"/>
      <c r="M285" s="495"/>
      <c r="N285" s="63"/>
      <c r="O285" s="63"/>
      <c r="P285" s="496"/>
      <c r="Q285" s="497"/>
      <c r="R285" s="63"/>
      <c r="S285" s="498"/>
      <c r="T285" s="63"/>
      <c r="U285" s="63"/>
      <c r="V285" s="499"/>
      <c r="W285" s="499"/>
      <c r="X285" s="63"/>
      <c r="Y285" s="63"/>
      <c r="Z285" s="500"/>
      <c r="AA285" s="63"/>
      <c r="AB285" s="63"/>
      <c r="AC285" s="63"/>
      <c r="AD285" s="63"/>
      <c r="AE285" s="63"/>
      <c r="AF285" s="63"/>
      <c r="AG285" s="63"/>
      <c r="AH285" s="63"/>
      <c r="AI285" s="501"/>
      <c r="AJ285" s="63"/>
      <c r="AK285" s="25"/>
      <c r="AL285" s="25"/>
      <c r="AM285" s="25"/>
    </row>
    <row r="286" ht="14" spans="1:39">
      <c r="A286" s="25"/>
      <c r="B286" s="63"/>
      <c r="C286" s="25"/>
      <c r="D286" s="25"/>
      <c r="E286" s="25"/>
      <c r="F286" s="25"/>
      <c r="G286" s="25"/>
      <c r="H286" s="25"/>
      <c r="I286" s="25"/>
      <c r="J286" s="25"/>
      <c r="K286" s="25"/>
      <c r="L286" s="25"/>
      <c r="M286" s="495"/>
      <c r="N286" s="63"/>
      <c r="O286" s="63"/>
      <c r="P286" s="496"/>
      <c r="Q286" s="497"/>
      <c r="R286" s="63"/>
      <c r="S286" s="498"/>
      <c r="T286" s="63"/>
      <c r="U286" s="63"/>
      <c r="V286" s="499"/>
      <c r="W286" s="499"/>
      <c r="X286" s="63"/>
      <c r="Y286" s="63"/>
      <c r="Z286" s="500"/>
      <c r="AA286" s="63"/>
      <c r="AB286" s="63"/>
      <c r="AC286" s="63"/>
      <c r="AD286" s="63"/>
      <c r="AE286" s="63"/>
      <c r="AF286" s="63"/>
      <c r="AG286" s="63"/>
      <c r="AH286" s="63"/>
      <c r="AI286" s="501"/>
      <c r="AJ286" s="63"/>
      <c r="AK286" s="25"/>
      <c r="AL286" s="25"/>
      <c r="AM286" s="25"/>
    </row>
    <row r="287" ht="14" spans="1:39">
      <c r="A287" s="25"/>
      <c r="B287" s="63"/>
      <c r="C287" s="25"/>
      <c r="D287" s="25"/>
      <c r="E287" s="25"/>
      <c r="F287" s="25"/>
      <c r="G287" s="25"/>
      <c r="H287" s="25"/>
      <c r="I287" s="25"/>
      <c r="J287" s="25"/>
      <c r="K287" s="25"/>
      <c r="L287" s="25"/>
      <c r="M287" s="495"/>
      <c r="N287" s="63"/>
      <c r="O287" s="63"/>
      <c r="P287" s="496"/>
      <c r="Q287" s="497"/>
      <c r="R287" s="63"/>
      <c r="S287" s="498"/>
      <c r="T287" s="63"/>
      <c r="U287" s="63"/>
      <c r="V287" s="499"/>
      <c r="W287" s="499"/>
      <c r="X287" s="63"/>
      <c r="Y287" s="63"/>
      <c r="Z287" s="500"/>
      <c r="AA287" s="63"/>
      <c r="AB287" s="63"/>
      <c r="AC287" s="63"/>
      <c r="AD287" s="63"/>
      <c r="AE287" s="63"/>
      <c r="AF287" s="63"/>
      <c r="AG287" s="63"/>
      <c r="AH287" s="63"/>
      <c r="AI287" s="501"/>
      <c r="AJ287" s="63"/>
      <c r="AK287" s="25"/>
      <c r="AL287" s="25"/>
      <c r="AM287" s="25"/>
    </row>
    <row r="288" ht="14" spans="1:39">
      <c r="A288" s="25"/>
      <c r="B288" s="63"/>
      <c r="C288" s="25"/>
      <c r="D288" s="25"/>
      <c r="E288" s="25"/>
      <c r="F288" s="25"/>
      <c r="G288" s="25"/>
      <c r="H288" s="25"/>
      <c r="I288" s="25"/>
      <c r="J288" s="25"/>
      <c r="K288" s="25"/>
      <c r="L288" s="25"/>
      <c r="M288" s="495"/>
      <c r="N288" s="63"/>
      <c r="O288" s="63"/>
      <c r="P288" s="496"/>
      <c r="Q288" s="497"/>
      <c r="R288" s="63"/>
      <c r="S288" s="498"/>
      <c r="T288" s="63"/>
      <c r="U288" s="63"/>
      <c r="V288" s="499"/>
      <c r="W288" s="499"/>
      <c r="X288" s="63"/>
      <c r="Y288" s="63"/>
      <c r="Z288" s="500"/>
      <c r="AA288" s="63"/>
      <c r="AB288" s="63"/>
      <c r="AC288" s="63"/>
      <c r="AD288" s="63"/>
      <c r="AE288" s="63"/>
      <c r="AF288" s="63"/>
      <c r="AG288" s="63"/>
      <c r="AH288" s="63"/>
      <c r="AI288" s="501"/>
      <c r="AJ288" s="63"/>
      <c r="AK288" s="25"/>
      <c r="AL288" s="25"/>
      <c r="AM288" s="25"/>
    </row>
    <row r="289" ht="14" spans="1:39">
      <c r="A289" s="25"/>
      <c r="B289" s="63"/>
      <c r="C289" s="25"/>
      <c r="D289" s="25"/>
      <c r="E289" s="25"/>
      <c r="F289" s="25"/>
      <c r="G289" s="25"/>
      <c r="H289" s="25"/>
      <c r="I289" s="25"/>
      <c r="J289" s="25"/>
      <c r="K289" s="25"/>
      <c r="L289" s="25"/>
      <c r="M289" s="495"/>
      <c r="N289" s="63"/>
      <c r="O289" s="63"/>
      <c r="P289" s="496"/>
      <c r="Q289" s="497"/>
      <c r="R289" s="63"/>
      <c r="S289" s="498"/>
      <c r="T289" s="63"/>
      <c r="U289" s="63"/>
      <c r="V289" s="499"/>
      <c r="W289" s="499"/>
      <c r="X289" s="63"/>
      <c r="Y289" s="63"/>
      <c r="Z289" s="500"/>
      <c r="AA289" s="63"/>
      <c r="AB289" s="63"/>
      <c r="AC289" s="63"/>
      <c r="AD289" s="63"/>
      <c r="AE289" s="63"/>
      <c r="AF289" s="63"/>
      <c r="AG289" s="63"/>
      <c r="AH289" s="63"/>
      <c r="AI289" s="501"/>
      <c r="AJ289" s="63"/>
      <c r="AK289" s="25"/>
      <c r="AL289" s="25"/>
      <c r="AM289" s="25"/>
    </row>
    <row r="290" ht="14" spans="1:39">
      <c r="A290" s="25"/>
      <c r="B290" s="63"/>
      <c r="C290" s="25"/>
      <c r="D290" s="25"/>
      <c r="E290" s="25"/>
      <c r="F290" s="25"/>
      <c r="G290" s="25"/>
      <c r="H290" s="25"/>
      <c r="I290" s="25"/>
      <c r="J290" s="25"/>
      <c r="K290" s="25"/>
      <c r="L290" s="25"/>
      <c r="M290" s="495"/>
      <c r="N290" s="63"/>
      <c r="O290" s="63"/>
      <c r="P290" s="496"/>
      <c r="Q290" s="497"/>
      <c r="R290" s="63"/>
      <c r="S290" s="498"/>
      <c r="T290" s="63"/>
      <c r="U290" s="63"/>
      <c r="V290" s="499"/>
      <c r="W290" s="499"/>
      <c r="X290" s="63"/>
      <c r="Y290" s="63"/>
      <c r="Z290" s="500"/>
      <c r="AA290" s="63"/>
      <c r="AB290" s="63"/>
      <c r="AC290" s="63"/>
      <c r="AD290" s="63"/>
      <c r="AE290" s="63"/>
      <c r="AF290" s="63"/>
      <c r="AG290" s="63"/>
      <c r="AH290" s="63"/>
      <c r="AI290" s="501"/>
      <c r="AJ290" s="63"/>
      <c r="AK290" s="25"/>
      <c r="AL290" s="25"/>
      <c r="AM290" s="25"/>
    </row>
    <row r="291" ht="14" spans="1:39">
      <c r="A291" s="25"/>
      <c r="B291" s="63"/>
      <c r="C291" s="25"/>
      <c r="D291" s="25"/>
      <c r="E291" s="25"/>
      <c r="F291" s="25"/>
      <c r="G291" s="25"/>
      <c r="H291" s="25"/>
      <c r="I291" s="25"/>
      <c r="J291" s="25"/>
      <c r="K291" s="25"/>
      <c r="L291" s="25"/>
      <c r="M291" s="495"/>
      <c r="N291" s="63"/>
      <c r="O291" s="63"/>
      <c r="P291" s="496"/>
      <c r="Q291" s="497"/>
      <c r="R291" s="63"/>
      <c r="S291" s="498"/>
      <c r="T291" s="63"/>
      <c r="U291" s="63"/>
      <c r="V291" s="499"/>
      <c r="W291" s="499"/>
      <c r="X291" s="63"/>
      <c r="Y291" s="63"/>
      <c r="Z291" s="500"/>
      <c r="AA291" s="63"/>
      <c r="AB291" s="63"/>
      <c r="AC291" s="63"/>
      <c r="AD291" s="63"/>
      <c r="AE291" s="63"/>
      <c r="AF291" s="63"/>
      <c r="AG291" s="63"/>
      <c r="AH291" s="63"/>
      <c r="AI291" s="501"/>
      <c r="AJ291" s="63"/>
      <c r="AK291" s="25"/>
      <c r="AL291" s="25"/>
      <c r="AM291" s="25"/>
    </row>
    <row r="292" ht="14" spans="1:39">
      <c r="A292" s="25"/>
      <c r="B292" s="63"/>
      <c r="C292" s="25"/>
      <c r="D292" s="25"/>
      <c r="E292" s="25"/>
      <c r="F292" s="25"/>
      <c r="G292" s="25"/>
      <c r="H292" s="25"/>
      <c r="I292" s="25"/>
      <c r="J292" s="25"/>
      <c r="K292" s="25"/>
      <c r="L292" s="25"/>
      <c r="M292" s="495"/>
      <c r="N292" s="63"/>
      <c r="O292" s="63"/>
      <c r="P292" s="496"/>
      <c r="Q292" s="497"/>
      <c r="R292" s="63"/>
      <c r="S292" s="498"/>
      <c r="T292" s="63"/>
      <c r="U292" s="63"/>
      <c r="V292" s="499"/>
      <c r="W292" s="499"/>
      <c r="X292" s="63"/>
      <c r="Y292" s="63"/>
      <c r="Z292" s="500"/>
      <c r="AA292" s="63"/>
      <c r="AB292" s="63"/>
      <c r="AC292" s="63"/>
      <c r="AD292" s="63"/>
      <c r="AE292" s="63"/>
      <c r="AF292" s="63"/>
      <c r="AG292" s="63"/>
      <c r="AH292" s="63"/>
      <c r="AI292" s="501"/>
      <c r="AJ292" s="63"/>
      <c r="AK292" s="25"/>
      <c r="AL292" s="25"/>
      <c r="AM292" s="25"/>
    </row>
    <row r="293" ht="14" spans="1:39">
      <c r="A293" s="25"/>
      <c r="B293" s="63"/>
      <c r="C293" s="25"/>
      <c r="D293" s="25"/>
      <c r="E293" s="25"/>
      <c r="F293" s="25"/>
      <c r="G293" s="25"/>
      <c r="H293" s="25"/>
      <c r="I293" s="25"/>
      <c r="J293" s="25"/>
      <c r="K293" s="25"/>
      <c r="L293" s="25"/>
      <c r="M293" s="495"/>
      <c r="N293" s="63"/>
      <c r="O293" s="63"/>
      <c r="P293" s="496"/>
      <c r="Q293" s="497"/>
      <c r="R293" s="63"/>
      <c r="S293" s="498"/>
      <c r="T293" s="63"/>
      <c r="U293" s="63"/>
      <c r="V293" s="499"/>
      <c r="W293" s="499"/>
      <c r="X293" s="63"/>
      <c r="Y293" s="63"/>
      <c r="Z293" s="500"/>
      <c r="AA293" s="63"/>
      <c r="AB293" s="63"/>
      <c r="AC293" s="63"/>
      <c r="AD293" s="63"/>
      <c r="AE293" s="63"/>
      <c r="AF293" s="63"/>
      <c r="AG293" s="63"/>
      <c r="AH293" s="63"/>
      <c r="AI293" s="501"/>
      <c r="AJ293" s="63"/>
      <c r="AK293" s="25"/>
      <c r="AL293" s="25"/>
      <c r="AM293" s="25"/>
    </row>
    <row r="294" ht="14" spans="1:39">
      <c r="A294" s="25"/>
      <c r="B294" s="63"/>
      <c r="C294" s="25"/>
      <c r="D294" s="25"/>
      <c r="E294" s="25"/>
      <c r="F294" s="25"/>
      <c r="G294" s="25"/>
      <c r="H294" s="25"/>
      <c r="I294" s="25"/>
      <c r="J294" s="25"/>
      <c r="K294" s="25"/>
      <c r="L294" s="25"/>
      <c r="M294" s="495"/>
      <c r="N294" s="63"/>
      <c r="O294" s="63"/>
      <c r="P294" s="496"/>
      <c r="Q294" s="497"/>
      <c r="R294" s="63"/>
      <c r="S294" s="498"/>
      <c r="T294" s="63"/>
      <c r="U294" s="63"/>
      <c r="V294" s="499"/>
      <c r="W294" s="499"/>
      <c r="X294" s="63"/>
      <c r="Y294" s="63"/>
      <c r="Z294" s="500"/>
      <c r="AA294" s="63"/>
      <c r="AB294" s="63"/>
      <c r="AC294" s="63"/>
      <c r="AD294" s="63"/>
      <c r="AE294" s="63"/>
      <c r="AF294" s="63"/>
      <c r="AG294" s="63"/>
      <c r="AH294" s="63"/>
      <c r="AI294" s="501"/>
      <c r="AJ294" s="63"/>
      <c r="AK294" s="25"/>
      <c r="AL294" s="25"/>
      <c r="AM294" s="25"/>
    </row>
    <row r="295" ht="14" spans="1:39">
      <c r="A295" s="25"/>
      <c r="B295" s="63"/>
      <c r="C295" s="25"/>
      <c r="D295" s="25"/>
      <c r="E295" s="25"/>
      <c r="F295" s="25"/>
      <c r="G295" s="25"/>
      <c r="H295" s="25"/>
      <c r="I295" s="25"/>
      <c r="J295" s="25"/>
      <c r="K295" s="25"/>
      <c r="L295" s="25"/>
      <c r="M295" s="495"/>
      <c r="N295" s="63"/>
      <c r="O295" s="63"/>
      <c r="P295" s="496"/>
      <c r="Q295" s="497"/>
      <c r="R295" s="63"/>
      <c r="S295" s="498"/>
      <c r="T295" s="63"/>
      <c r="U295" s="63"/>
      <c r="V295" s="499"/>
      <c r="W295" s="499"/>
      <c r="X295" s="63"/>
      <c r="Y295" s="63"/>
      <c r="Z295" s="500"/>
      <c r="AA295" s="63"/>
      <c r="AB295" s="63"/>
      <c r="AC295" s="63"/>
      <c r="AD295" s="63"/>
      <c r="AE295" s="63"/>
      <c r="AF295" s="63"/>
      <c r="AG295" s="63"/>
      <c r="AH295" s="63"/>
      <c r="AI295" s="501"/>
      <c r="AJ295" s="63"/>
      <c r="AK295" s="25"/>
      <c r="AL295" s="25"/>
      <c r="AM295" s="25"/>
    </row>
    <row r="296" ht="14" spans="1:39">
      <c r="A296" s="25"/>
      <c r="B296" s="63"/>
      <c r="C296" s="25"/>
      <c r="D296" s="25"/>
      <c r="E296" s="25"/>
      <c r="F296" s="25"/>
      <c r="G296" s="25"/>
      <c r="H296" s="25"/>
      <c r="I296" s="25"/>
      <c r="J296" s="25"/>
      <c r="K296" s="25"/>
      <c r="L296" s="25"/>
      <c r="M296" s="495"/>
      <c r="N296" s="63"/>
      <c r="O296" s="63"/>
      <c r="P296" s="496"/>
      <c r="Q296" s="497"/>
      <c r="R296" s="63"/>
      <c r="S296" s="498"/>
      <c r="T296" s="63"/>
      <c r="U296" s="63"/>
      <c r="V296" s="499"/>
      <c r="W296" s="499"/>
      <c r="X296" s="63"/>
      <c r="Y296" s="63"/>
      <c r="Z296" s="500"/>
      <c r="AA296" s="63"/>
      <c r="AB296" s="63"/>
      <c r="AC296" s="63"/>
      <c r="AD296" s="63"/>
      <c r="AE296" s="63"/>
      <c r="AF296" s="63"/>
      <c r="AG296" s="63"/>
      <c r="AH296" s="63"/>
      <c r="AI296" s="501"/>
      <c r="AJ296" s="63"/>
      <c r="AK296" s="25"/>
      <c r="AL296" s="25"/>
      <c r="AM296" s="25"/>
    </row>
    <row r="297" ht="14" spans="1:39">
      <c r="A297" s="25"/>
      <c r="B297" s="63"/>
      <c r="C297" s="25"/>
      <c r="D297" s="25"/>
      <c r="E297" s="25"/>
      <c r="F297" s="25"/>
      <c r="G297" s="25"/>
      <c r="H297" s="25"/>
      <c r="I297" s="25"/>
      <c r="J297" s="25"/>
      <c r="K297" s="25"/>
      <c r="L297" s="25"/>
      <c r="M297" s="495"/>
      <c r="N297" s="63"/>
      <c r="O297" s="63"/>
      <c r="P297" s="496"/>
      <c r="Q297" s="497"/>
      <c r="R297" s="63"/>
      <c r="S297" s="498"/>
      <c r="T297" s="63"/>
      <c r="U297" s="63"/>
      <c r="V297" s="499"/>
      <c r="W297" s="499"/>
      <c r="X297" s="63"/>
      <c r="Y297" s="63"/>
      <c r="Z297" s="500"/>
      <c r="AA297" s="63"/>
      <c r="AB297" s="63"/>
      <c r="AC297" s="63"/>
      <c r="AD297" s="63"/>
      <c r="AE297" s="63"/>
      <c r="AF297" s="63"/>
      <c r="AG297" s="63"/>
      <c r="AH297" s="63"/>
      <c r="AI297" s="501"/>
      <c r="AJ297" s="63"/>
      <c r="AK297" s="25"/>
      <c r="AL297" s="25"/>
      <c r="AM297" s="25"/>
    </row>
    <row r="298" ht="14" spans="1:39">
      <c r="A298" s="25"/>
      <c r="B298" s="63"/>
      <c r="C298" s="25"/>
      <c r="D298" s="25"/>
      <c r="E298" s="25"/>
      <c r="F298" s="25"/>
      <c r="G298" s="25"/>
      <c r="H298" s="25"/>
      <c r="I298" s="25"/>
      <c r="J298" s="25"/>
      <c r="K298" s="25"/>
      <c r="L298" s="25"/>
      <c r="M298" s="495"/>
      <c r="N298" s="63"/>
      <c r="O298" s="63"/>
      <c r="P298" s="496"/>
      <c r="Q298" s="497"/>
      <c r="R298" s="63"/>
      <c r="S298" s="498"/>
      <c r="T298" s="63"/>
      <c r="U298" s="63"/>
      <c r="V298" s="499"/>
      <c r="W298" s="499"/>
      <c r="X298" s="63"/>
      <c r="Y298" s="63"/>
      <c r="Z298" s="500"/>
      <c r="AA298" s="63"/>
      <c r="AB298" s="63"/>
      <c r="AC298" s="63"/>
      <c r="AD298" s="63"/>
      <c r="AE298" s="63"/>
      <c r="AF298" s="63"/>
      <c r="AG298" s="63"/>
      <c r="AH298" s="63"/>
      <c r="AI298" s="501"/>
      <c r="AJ298" s="63"/>
      <c r="AK298" s="25"/>
      <c r="AL298" s="25"/>
      <c r="AM298" s="25"/>
    </row>
    <row r="299" ht="14" spans="1:39">
      <c r="A299" s="25"/>
      <c r="B299" s="63"/>
      <c r="C299" s="25"/>
      <c r="D299" s="25"/>
      <c r="E299" s="25"/>
      <c r="F299" s="25"/>
      <c r="G299" s="25"/>
      <c r="H299" s="25"/>
      <c r="I299" s="25"/>
      <c r="J299" s="25"/>
      <c r="K299" s="25"/>
      <c r="L299" s="25"/>
      <c r="M299" s="495"/>
      <c r="N299" s="63"/>
      <c r="O299" s="63"/>
      <c r="P299" s="496"/>
      <c r="Q299" s="497"/>
      <c r="R299" s="63"/>
      <c r="S299" s="498"/>
      <c r="T299" s="63"/>
      <c r="U299" s="63"/>
      <c r="V299" s="499"/>
      <c r="W299" s="499"/>
      <c r="X299" s="63"/>
      <c r="Y299" s="63"/>
      <c r="Z299" s="500"/>
      <c r="AA299" s="63"/>
      <c r="AB299" s="63"/>
      <c r="AC299" s="63"/>
      <c r="AD299" s="63"/>
      <c r="AE299" s="63"/>
      <c r="AF299" s="63"/>
      <c r="AG299" s="63"/>
      <c r="AH299" s="63"/>
      <c r="AI299" s="501"/>
      <c r="AJ299" s="63"/>
      <c r="AK299" s="25"/>
      <c r="AL299" s="25"/>
      <c r="AM299" s="25"/>
    </row>
    <row r="300" ht="14" spans="1:39">
      <c r="A300" s="25"/>
      <c r="B300" s="63"/>
      <c r="C300" s="25"/>
      <c r="D300" s="25"/>
      <c r="E300" s="25"/>
      <c r="F300" s="25"/>
      <c r="G300" s="25"/>
      <c r="H300" s="25"/>
      <c r="I300" s="25"/>
      <c r="J300" s="25"/>
      <c r="K300" s="25"/>
      <c r="L300" s="25"/>
      <c r="M300" s="495"/>
      <c r="N300" s="63"/>
      <c r="O300" s="63"/>
      <c r="P300" s="496"/>
      <c r="Q300" s="497"/>
      <c r="R300" s="63"/>
      <c r="S300" s="498"/>
      <c r="T300" s="63"/>
      <c r="U300" s="63"/>
      <c r="V300" s="499"/>
      <c r="W300" s="499"/>
      <c r="X300" s="63"/>
      <c r="Y300" s="63"/>
      <c r="Z300" s="500"/>
      <c r="AA300" s="63"/>
      <c r="AB300" s="63"/>
      <c r="AC300" s="63"/>
      <c r="AD300" s="63"/>
      <c r="AE300" s="63"/>
      <c r="AF300" s="63"/>
      <c r="AG300" s="63"/>
      <c r="AH300" s="63"/>
      <c r="AI300" s="501"/>
      <c r="AJ300" s="63"/>
      <c r="AK300" s="25"/>
      <c r="AL300" s="25"/>
      <c r="AM300" s="25"/>
    </row>
    <row r="301" ht="14" spans="1:39">
      <c r="A301" s="25"/>
      <c r="B301" s="63"/>
      <c r="C301" s="25"/>
      <c r="D301" s="25"/>
      <c r="E301" s="25"/>
      <c r="F301" s="25"/>
      <c r="G301" s="25"/>
      <c r="H301" s="25"/>
      <c r="I301" s="25"/>
      <c r="J301" s="25"/>
      <c r="K301" s="25"/>
      <c r="L301" s="25"/>
      <c r="M301" s="495"/>
      <c r="N301" s="63"/>
      <c r="O301" s="63"/>
      <c r="P301" s="496"/>
      <c r="Q301" s="497"/>
      <c r="R301" s="63"/>
      <c r="S301" s="498"/>
      <c r="T301" s="63"/>
      <c r="U301" s="63"/>
      <c r="V301" s="499"/>
      <c r="W301" s="499"/>
      <c r="X301" s="63"/>
      <c r="Y301" s="63"/>
      <c r="Z301" s="500"/>
      <c r="AA301" s="63"/>
      <c r="AB301" s="63"/>
      <c r="AC301" s="63"/>
      <c r="AD301" s="63"/>
      <c r="AE301" s="63"/>
      <c r="AF301" s="63"/>
      <c r="AG301" s="63"/>
      <c r="AH301" s="63"/>
      <c r="AI301" s="501"/>
      <c r="AJ301" s="63"/>
      <c r="AK301" s="25"/>
      <c r="AL301" s="25"/>
      <c r="AM301" s="25"/>
    </row>
    <row r="302" ht="14" spans="1:39">
      <c r="A302" s="25"/>
      <c r="B302" s="63"/>
      <c r="C302" s="25"/>
      <c r="D302" s="25"/>
      <c r="E302" s="25"/>
      <c r="F302" s="25"/>
      <c r="G302" s="25"/>
      <c r="H302" s="25"/>
      <c r="I302" s="25"/>
      <c r="J302" s="25"/>
      <c r="K302" s="25"/>
      <c r="L302" s="25"/>
      <c r="M302" s="495"/>
      <c r="N302" s="63"/>
      <c r="O302" s="63"/>
      <c r="P302" s="496"/>
      <c r="Q302" s="497"/>
      <c r="R302" s="63"/>
      <c r="S302" s="498"/>
      <c r="T302" s="63"/>
      <c r="U302" s="63"/>
      <c r="V302" s="499"/>
      <c r="W302" s="499"/>
      <c r="X302" s="63"/>
      <c r="Y302" s="63"/>
      <c r="Z302" s="500"/>
      <c r="AA302" s="63"/>
      <c r="AB302" s="63"/>
      <c r="AC302" s="63"/>
      <c r="AD302" s="63"/>
      <c r="AE302" s="63"/>
      <c r="AF302" s="63"/>
      <c r="AG302" s="63"/>
      <c r="AH302" s="63"/>
      <c r="AI302" s="501"/>
      <c r="AJ302" s="63"/>
      <c r="AK302" s="25"/>
      <c r="AL302" s="25"/>
      <c r="AM302" s="25"/>
    </row>
    <row r="303" ht="14" spans="1:39">
      <c r="A303" s="25"/>
      <c r="B303" s="63"/>
      <c r="C303" s="25"/>
      <c r="D303" s="25"/>
      <c r="E303" s="25"/>
      <c r="F303" s="25"/>
      <c r="G303" s="25"/>
      <c r="H303" s="25"/>
      <c r="I303" s="25"/>
      <c r="J303" s="25"/>
      <c r="K303" s="25"/>
      <c r="L303" s="25"/>
      <c r="M303" s="495"/>
      <c r="N303" s="63"/>
      <c r="O303" s="63"/>
      <c r="P303" s="496"/>
      <c r="Q303" s="497"/>
      <c r="R303" s="63"/>
      <c r="S303" s="498"/>
      <c r="T303" s="63"/>
      <c r="U303" s="63"/>
      <c r="V303" s="499"/>
      <c r="W303" s="499"/>
      <c r="X303" s="63"/>
      <c r="Y303" s="63"/>
      <c r="Z303" s="500"/>
      <c r="AA303" s="63"/>
      <c r="AB303" s="63"/>
      <c r="AC303" s="63"/>
      <c r="AD303" s="63"/>
      <c r="AE303" s="63"/>
      <c r="AF303" s="63"/>
      <c r="AG303" s="63"/>
      <c r="AH303" s="63"/>
      <c r="AI303" s="501"/>
      <c r="AJ303" s="63"/>
      <c r="AK303" s="25"/>
      <c r="AL303" s="25"/>
      <c r="AM303" s="25"/>
    </row>
    <row r="304" ht="14" spans="1:39">
      <c r="A304" s="25"/>
      <c r="B304" s="63"/>
      <c r="C304" s="25"/>
      <c r="D304" s="25"/>
      <c r="E304" s="25"/>
      <c r="F304" s="25"/>
      <c r="G304" s="25"/>
      <c r="H304" s="25"/>
      <c r="I304" s="25"/>
      <c r="J304" s="25"/>
      <c r="K304" s="25"/>
      <c r="L304" s="25"/>
      <c r="M304" s="495"/>
      <c r="N304" s="63"/>
      <c r="O304" s="63"/>
      <c r="P304" s="496"/>
      <c r="Q304" s="497"/>
      <c r="R304" s="63"/>
      <c r="S304" s="498"/>
      <c r="T304" s="63"/>
      <c r="U304" s="63"/>
      <c r="V304" s="499"/>
      <c r="W304" s="499"/>
      <c r="X304" s="63"/>
      <c r="Y304" s="63"/>
      <c r="Z304" s="500"/>
      <c r="AA304" s="63"/>
      <c r="AB304" s="63"/>
      <c r="AC304" s="63"/>
      <c r="AD304" s="63"/>
      <c r="AE304" s="63"/>
      <c r="AF304" s="63"/>
      <c r="AG304" s="63"/>
      <c r="AH304" s="63"/>
      <c r="AI304" s="501"/>
      <c r="AJ304" s="63"/>
      <c r="AK304" s="25"/>
      <c r="AL304" s="25"/>
      <c r="AM304" s="25"/>
    </row>
    <row r="305" ht="14" spans="1:39">
      <c r="A305" s="25"/>
      <c r="B305" s="63"/>
      <c r="C305" s="25"/>
      <c r="D305" s="25"/>
      <c r="E305" s="25"/>
      <c r="F305" s="25"/>
      <c r="G305" s="25"/>
      <c r="H305" s="25"/>
      <c r="I305" s="25"/>
      <c r="J305" s="25"/>
      <c r="K305" s="25"/>
      <c r="L305" s="25"/>
      <c r="M305" s="495"/>
      <c r="N305" s="63"/>
      <c r="O305" s="63"/>
      <c r="P305" s="496"/>
      <c r="Q305" s="497"/>
      <c r="R305" s="63"/>
      <c r="S305" s="498"/>
      <c r="T305" s="63"/>
      <c r="U305" s="63"/>
      <c r="V305" s="499"/>
      <c r="W305" s="499"/>
      <c r="X305" s="63"/>
      <c r="Y305" s="63"/>
      <c r="Z305" s="500"/>
      <c r="AA305" s="63"/>
      <c r="AB305" s="63"/>
      <c r="AC305" s="63"/>
      <c r="AD305" s="63"/>
      <c r="AE305" s="63"/>
      <c r="AF305" s="63"/>
      <c r="AG305" s="63"/>
      <c r="AH305" s="63"/>
      <c r="AI305" s="501"/>
      <c r="AJ305" s="63"/>
      <c r="AK305" s="25"/>
      <c r="AL305" s="25"/>
      <c r="AM305" s="25"/>
    </row>
    <row r="306" ht="14" spans="1:39">
      <c r="A306" s="25"/>
      <c r="B306" s="63"/>
      <c r="C306" s="25"/>
      <c r="D306" s="25"/>
      <c r="E306" s="25"/>
      <c r="F306" s="25"/>
      <c r="G306" s="25"/>
      <c r="H306" s="25"/>
      <c r="I306" s="25"/>
      <c r="J306" s="25"/>
      <c r="K306" s="25"/>
      <c r="L306" s="25"/>
      <c r="M306" s="495"/>
      <c r="N306" s="63"/>
      <c r="O306" s="63"/>
      <c r="P306" s="496"/>
      <c r="Q306" s="497"/>
      <c r="R306" s="63"/>
      <c r="S306" s="498"/>
      <c r="T306" s="63"/>
      <c r="U306" s="63"/>
      <c r="V306" s="499"/>
      <c r="W306" s="499"/>
      <c r="X306" s="63"/>
      <c r="Y306" s="63"/>
      <c r="Z306" s="500"/>
      <c r="AA306" s="63"/>
      <c r="AB306" s="63"/>
      <c r="AC306" s="63"/>
      <c r="AD306" s="63"/>
      <c r="AE306" s="63"/>
      <c r="AF306" s="63"/>
      <c r="AG306" s="63"/>
      <c r="AH306" s="63"/>
      <c r="AI306" s="501"/>
      <c r="AJ306" s="63"/>
      <c r="AK306" s="25"/>
      <c r="AL306" s="25"/>
      <c r="AM306" s="25"/>
    </row>
    <row r="307" ht="14" spans="1:39">
      <c r="A307" s="25"/>
      <c r="B307" s="63"/>
      <c r="C307" s="25"/>
      <c r="D307" s="25"/>
      <c r="E307" s="25"/>
      <c r="F307" s="25"/>
      <c r="G307" s="25"/>
      <c r="H307" s="25"/>
      <c r="I307" s="25"/>
      <c r="J307" s="25"/>
      <c r="K307" s="25"/>
      <c r="L307" s="25"/>
      <c r="M307" s="495"/>
      <c r="N307" s="63"/>
      <c r="O307" s="63"/>
      <c r="P307" s="496"/>
      <c r="Q307" s="497"/>
      <c r="R307" s="63"/>
      <c r="S307" s="498"/>
      <c r="T307" s="63"/>
      <c r="U307" s="63"/>
      <c r="V307" s="499"/>
      <c r="W307" s="499"/>
      <c r="X307" s="63"/>
      <c r="Y307" s="63"/>
      <c r="Z307" s="500"/>
      <c r="AA307" s="63"/>
      <c r="AB307" s="63"/>
      <c r="AC307" s="63"/>
      <c r="AD307" s="63"/>
      <c r="AE307" s="63"/>
      <c r="AF307" s="63"/>
      <c r="AG307" s="63"/>
      <c r="AH307" s="63"/>
      <c r="AI307" s="501"/>
      <c r="AJ307" s="63"/>
      <c r="AK307" s="25"/>
      <c r="AL307" s="25"/>
      <c r="AM307" s="25"/>
    </row>
    <row r="308" ht="14" spans="1:39">
      <c r="A308" s="25"/>
      <c r="B308" s="63"/>
      <c r="C308" s="25"/>
      <c r="D308" s="25"/>
      <c r="E308" s="25"/>
      <c r="F308" s="25"/>
      <c r="G308" s="25"/>
      <c r="H308" s="25"/>
      <c r="I308" s="25"/>
      <c r="J308" s="25"/>
      <c r="K308" s="25"/>
      <c r="L308" s="25"/>
      <c r="M308" s="495"/>
      <c r="N308" s="63"/>
      <c r="O308" s="63"/>
      <c r="P308" s="496"/>
      <c r="Q308" s="497"/>
      <c r="R308" s="63"/>
      <c r="S308" s="498"/>
      <c r="T308" s="63"/>
      <c r="U308" s="63"/>
      <c r="V308" s="499"/>
      <c r="W308" s="499"/>
      <c r="X308" s="63"/>
      <c r="Y308" s="63"/>
      <c r="Z308" s="500"/>
      <c r="AA308" s="63"/>
      <c r="AB308" s="63"/>
      <c r="AC308" s="63"/>
      <c r="AD308" s="63"/>
      <c r="AE308" s="63"/>
      <c r="AF308" s="63"/>
      <c r="AG308" s="63"/>
      <c r="AH308" s="63"/>
      <c r="AI308" s="501"/>
      <c r="AJ308" s="63"/>
      <c r="AK308" s="25"/>
      <c r="AL308" s="25"/>
      <c r="AM308" s="25"/>
    </row>
    <row r="309" ht="14" spans="1:39">
      <c r="A309" s="25"/>
      <c r="B309" s="63"/>
      <c r="C309" s="25"/>
      <c r="D309" s="25"/>
      <c r="E309" s="25"/>
      <c r="F309" s="25"/>
      <c r="G309" s="25"/>
      <c r="H309" s="25"/>
      <c r="I309" s="25"/>
      <c r="J309" s="25"/>
      <c r="K309" s="25"/>
      <c r="L309" s="25"/>
      <c r="M309" s="495"/>
      <c r="N309" s="63"/>
      <c r="O309" s="63"/>
      <c r="P309" s="496"/>
      <c r="Q309" s="497"/>
      <c r="R309" s="63"/>
      <c r="S309" s="498"/>
      <c r="T309" s="63"/>
      <c r="U309" s="63"/>
      <c r="V309" s="499"/>
      <c r="W309" s="499"/>
      <c r="X309" s="63"/>
      <c r="Y309" s="63"/>
      <c r="Z309" s="500"/>
      <c r="AA309" s="63"/>
      <c r="AB309" s="63"/>
      <c r="AC309" s="63"/>
      <c r="AD309" s="63"/>
      <c r="AE309" s="63"/>
      <c r="AF309" s="63"/>
      <c r="AG309" s="63"/>
      <c r="AH309" s="63"/>
      <c r="AI309" s="501"/>
      <c r="AJ309" s="63"/>
      <c r="AK309" s="25"/>
      <c r="AL309" s="25"/>
      <c r="AM309" s="25"/>
    </row>
    <row r="310" ht="14" spans="1:39">
      <c r="A310" s="25"/>
      <c r="B310" s="63"/>
      <c r="C310" s="25"/>
      <c r="D310" s="25"/>
      <c r="E310" s="25"/>
      <c r="F310" s="25"/>
      <c r="G310" s="25"/>
      <c r="H310" s="25"/>
      <c r="I310" s="25"/>
      <c r="J310" s="25"/>
      <c r="K310" s="25"/>
      <c r="L310" s="25"/>
      <c r="M310" s="495"/>
      <c r="N310" s="63"/>
      <c r="O310" s="63"/>
      <c r="P310" s="496"/>
      <c r="Q310" s="497"/>
      <c r="R310" s="63"/>
      <c r="S310" s="498"/>
      <c r="T310" s="63"/>
      <c r="U310" s="63"/>
      <c r="V310" s="499"/>
      <c r="W310" s="499"/>
      <c r="X310" s="63"/>
      <c r="Y310" s="63"/>
      <c r="Z310" s="500"/>
      <c r="AA310" s="63"/>
      <c r="AB310" s="63"/>
      <c r="AC310" s="63"/>
      <c r="AD310" s="63"/>
      <c r="AE310" s="63"/>
      <c r="AF310" s="63"/>
      <c r="AG310" s="63"/>
      <c r="AH310" s="63"/>
      <c r="AI310" s="501"/>
      <c r="AJ310" s="63"/>
      <c r="AK310" s="25"/>
      <c r="AL310" s="25"/>
      <c r="AM310" s="25"/>
    </row>
    <row r="311" ht="14" spans="1:39">
      <c r="A311" s="25"/>
      <c r="B311" s="63"/>
      <c r="C311" s="25"/>
      <c r="D311" s="25"/>
      <c r="E311" s="25"/>
      <c r="F311" s="25"/>
      <c r="G311" s="25"/>
      <c r="H311" s="25"/>
      <c r="I311" s="25"/>
      <c r="J311" s="25"/>
      <c r="K311" s="25"/>
      <c r="L311" s="25"/>
      <c r="M311" s="495"/>
      <c r="N311" s="63"/>
      <c r="O311" s="63"/>
      <c r="P311" s="496"/>
      <c r="Q311" s="497"/>
      <c r="R311" s="63"/>
      <c r="S311" s="498"/>
      <c r="T311" s="63"/>
      <c r="U311" s="63"/>
      <c r="V311" s="499"/>
      <c r="W311" s="499"/>
      <c r="X311" s="63"/>
      <c r="Y311" s="63"/>
      <c r="Z311" s="500"/>
      <c r="AA311" s="63"/>
      <c r="AB311" s="63"/>
      <c r="AC311" s="63"/>
      <c r="AD311" s="63"/>
      <c r="AE311" s="63"/>
      <c r="AF311" s="63"/>
      <c r="AG311" s="63"/>
      <c r="AH311" s="63"/>
      <c r="AI311" s="501"/>
      <c r="AJ311" s="63"/>
      <c r="AK311" s="25"/>
      <c r="AL311" s="25"/>
      <c r="AM311" s="25"/>
    </row>
    <row r="312" ht="14" spans="1:39">
      <c r="A312" s="25"/>
      <c r="B312" s="63"/>
      <c r="C312" s="25"/>
      <c r="D312" s="25"/>
      <c r="E312" s="25"/>
      <c r="F312" s="25"/>
      <c r="G312" s="25"/>
      <c r="H312" s="25"/>
      <c r="I312" s="25"/>
      <c r="J312" s="25"/>
      <c r="K312" s="25"/>
      <c r="L312" s="25"/>
      <c r="M312" s="495"/>
      <c r="N312" s="63"/>
      <c r="O312" s="63"/>
      <c r="P312" s="496"/>
      <c r="Q312" s="497"/>
      <c r="R312" s="63"/>
      <c r="S312" s="498"/>
      <c r="T312" s="63"/>
      <c r="U312" s="63"/>
      <c r="V312" s="499"/>
      <c r="W312" s="499"/>
      <c r="X312" s="63"/>
      <c r="Y312" s="63"/>
      <c r="Z312" s="500"/>
      <c r="AA312" s="63"/>
      <c r="AB312" s="63"/>
      <c r="AC312" s="63"/>
      <c r="AD312" s="63"/>
      <c r="AE312" s="63"/>
      <c r="AF312" s="63"/>
      <c r="AG312" s="63"/>
      <c r="AH312" s="63"/>
      <c r="AI312" s="501"/>
      <c r="AJ312" s="63"/>
      <c r="AK312" s="25"/>
      <c r="AL312" s="25"/>
      <c r="AM312" s="25"/>
    </row>
    <row r="313" ht="14" spans="1:39">
      <c r="A313" s="25"/>
      <c r="B313" s="63"/>
      <c r="C313" s="25"/>
      <c r="D313" s="25"/>
      <c r="E313" s="25"/>
      <c r="F313" s="25"/>
      <c r="G313" s="25"/>
      <c r="H313" s="25"/>
      <c r="I313" s="25"/>
      <c r="J313" s="25"/>
      <c r="K313" s="25"/>
      <c r="L313" s="25"/>
      <c r="M313" s="495"/>
      <c r="N313" s="63"/>
      <c r="O313" s="63"/>
      <c r="P313" s="496"/>
      <c r="Q313" s="497"/>
      <c r="R313" s="63"/>
      <c r="S313" s="498"/>
      <c r="T313" s="63"/>
      <c r="U313" s="63"/>
      <c r="V313" s="499"/>
      <c r="W313" s="499"/>
      <c r="X313" s="63"/>
      <c r="Y313" s="63"/>
      <c r="Z313" s="500"/>
      <c r="AA313" s="63"/>
      <c r="AB313" s="63"/>
      <c r="AC313" s="63"/>
      <c r="AD313" s="63"/>
      <c r="AE313" s="63"/>
      <c r="AF313" s="63"/>
      <c r="AG313" s="63"/>
      <c r="AH313" s="63"/>
      <c r="AI313" s="501"/>
      <c r="AJ313" s="63"/>
      <c r="AK313" s="25"/>
      <c r="AL313" s="25"/>
      <c r="AM313" s="25"/>
    </row>
    <row r="314" ht="14" spans="1:39">
      <c r="A314" s="25"/>
      <c r="B314" s="63"/>
      <c r="C314" s="25"/>
      <c r="D314" s="25"/>
      <c r="E314" s="25"/>
      <c r="F314" s="25"/>
      <c r="G314" s="25"/>
      <c r="H314" s="25"/>
      <c r="I314" s="25"/>
      <c r="J314" s="25"/>
      <c r="K314" s="25"/>
      <c r="L314" s="25"/>
      <c r="M314" s="495"/>
      <c r="N314" s="63"/>
      <c r="O314" s="63"/>
      <c r="P314" s="496"/>
      <c r="Q314" s="497"/>
      <c r="R314" s="63"/>
      <c r="S314" s="498"/>
      <c r="T314" s="63"/>
      <c r="U314" s="63"/>
      <c r="V314" s="499"/>
      <c r="W314" s="499"/>
      <c r="X314" s="63"/>
      <c r="Y314" s="63"/>
      <c r="Z314" s="500"/>
      <c r="AA314" s="63"/>
      <c r="AB314" s="63"/>
      <c r="AC314" s="63"/>
      <c r="AD314" s="63"/>
      <c r="AE314" s="63"/>
      <c r="AF314" s="63"/>
      <c r="AG314" s="63"/>
      <c r="AH314" s="63"/>
      <c r="AI314" s="501"/>
      <c r="AJ314" s="63"/>
      <c r="AK314" s="25"/>
      <c r="AL314" s="25"/>
      <c r="AM314" s="25"/>
    </row>
    <row r="315" ht="14" spans="1:39">
      <c r="A315" s="25"/>
      <c r="B315" s="63"/>
      <c r="C315" s="25"/>
      <c r="D315" s="25"/>
      <c r="E315" s="25"/>
      <c r="F315" s="25"/>
      <c r="G315" s="25"/>
      <c r="H315" s="25"/>
      <c r="I315" s="25"/>
      <c r="J315" s="25"/>
      <c r="K315" s="25"/>
      <c r="L315" s="25"/>
      <c r="M315" s="495"/>
      <c r="N315" s="63"/>
      <c r="O315" s="63"/>
      <c r="P315" s="496"/>
      <c r="Q315" s="497"/>
      <c r="R315" s="63"/>
      <c r="S315" s="498"/>
      <c r="T315" s="63"/>
      <c r="U315" s="63"/>
      <c r="V315" s="499"/>
      <c r="W315" s="499"/>
      <c r="X315" s="63"/>
      <c r="Y315" s="63"/>
      <c r="Z315" s="500"/>
      <c r="AA315" s="63"/>
      <c r="AB315" s="63"/>
      <c r="AC315" s="63"/>
      <c r="AD315" s="63"/>
      <c r="AE315" s="63"/>
      <c r="AF315" s="63"/>
      <c r="AG315" s="63"/>
      <c r="AH315" s="63"/>
      <c r="AI315" s="501"/>
      <c r="AJ315" s="63"/>
      <c r="AK315" s="25"/>
      <c r="AL315" s="25"/>
      <c r="AM315" s="25"/>
    </row>
    <row r="316" ht="14" spans="1:39">
      <c r="A316" s="25"/>
      <c r="B316" s="63"/>
      <c r="C316" s="25"/>
      <c r="D316" s="25"/>
      <c r="E316" s="25"/>
      <c r="F316" s="25"/>
      <c r="G316" s="25"/>
      <c r="H316" s="25"/>
      <c r="I316" s="25"/>
      <c r="J316" s="25"/>
      <c r="K316" s="25"/>
      <c r="L316" s="25"/>
      <c r="M316" s="495"/>
      <c r="N316" s="63"/>
      <c r="O316" s="63"/>
      <c r="P316" s="496"/>
      <c r="Q316" s="497"/>
      <c r="R316" s="63"/>
      <c r="S316" s="498"/>
      <c r="T316" s="63"/>
      <c r="U316" s="63"/>
      <c r="V316" s="499"/>
      <c r="W316" s="499"/>
      <c r="X316" s="63"/>
      <c r="Y316" s="63"/>
      <c r="Z316" s="500"/>
      <c r="AA316" s="63"/>
      <c r="AB316" s="63"/>
      <c r="AC316" s="63"/>
      <c r="AD316" s="63"/>
      <c r="AE316" s="63"/>
      <c r="AF316" s="63"/>
      <c r="AG316" s="63"/>
      <c r="AH316" s="63"/>
      <c r="AI316" s="501"/>
      <c r="AJ316" s="63"/>
      <c r="AK316" s="25"/>
      <c r="AL316" s="25"/>
      <c r="AM316" s="25"/>
    </row>
    <row r="317" ht="14" spans="1:39">
      <c r="A317" s="25"/>
      <c r="B317" s="63"/>
      <c r="C317" s="25"/>
      <c r="D317" s="25"/>
      <c r="E317" s="25"/>
      <c r="F317" s="25"/>
      <c r="G317" s="25"/>
      <c r="H317" s="25"/>
      <c r="I317" s="25"/>
      <c r="J317" s="25"/>
      <c r="K317" s="25"/>
      <c r="L317" s="25"/>
      <c r="M317" s="495"/>
      <c r="N317" s="63"/>
      <c r="O317" s="63"/>
      <c r="P317" s="496"/>
      <c r="Q317" s="497"/>
      <c r="R317" s="63"/>
      <c r="S317" s="498"/>
      <c r="T317" s="63"/>
      <c r="U317" s="63"/>
      <c r="V317" s="499"/>
      <c r="W317" s="499"/>
      <c r="X317" s="63"/>
      <c r="Y317" s="63"/>
      <c r="Z317" s="500"/>
      <c r="AA317" s="63"/>
      <c r="AB317" s="63"/>
      <c r="AC317" s="63"/>
      <c r="AD317" s="63"/>
      <c r="AE317" s="63"/>
      <c r="AF317" s="63"/>
      <c r="AG317" s="63"/>
      <c r="AH317" s="63"/>
      <c r="AI317" s="501"/>
      <c r="AJ317" s="63"/>
      <c r="AK317" s="25"/>
      <c r="AL317" s="25"/>
      <c r="AM317" s="25"/>
    </row>
    <row r="318" ht="14" spans="1:39">
      <c r="A318" s="25"/>
      <c r="B318" s="63"/>
      <c r="C318" s="25"/>
      <c r="D318" s="25"/>
      <c r="E318" s="25"/>
      <c r="F318" s="25"/>
      <c r="G318" s="25"/>
      <c r="H318" s="25"/>
      <c r="I318" s="25"/>
      <c r="J318" s="25"/>
      <c r="K318" s="25"/>
      <c r="L318" s="25"/>
      <c r="M318" s="495"/>
      <c r="N318" s="63"/>
      <c r="O318" s="63"/>
      <c r="P318" s="496"/>
      <c r="Q318" s="497"/>
      <c r="R318" s="63"/>
      <c r="S318" s="498"/>
      <c r="T318" s="63"/>
      <c r="U318" s="63"/>
      <c r="V318" s="499"/>
      <c r="W318" s="499"/>
      <c r="X318" s="63"/>
      <c r="Y318" s="63"/>
      <c r="Z318" s="500"/>
      <c r="AA318" s="63"/>
      <c r="AB318" s="63"/>
      <c r="AC318" s="63"/>
      <c r="AD318" s="63"/>
      <c r="AE318" s="63"/>
      <c r="AF318" s="63"/>
      <c r="AG318" s="63"/>
      <c r="AH318" s="63"/>
      <c r="AI318" s="501"/>
      <c r="AJ318" s="63"/>
      <c r="AK318" s="25"/>
      <c r="AL318" s="25"/>
      <c r="AM318" s="25"/>
    </row>
    <row r="319" ht="14" spans="1:39">
      <c r="A319" s="25"/>
      <c r="B319" s="63"/>
      <c r="C319" s="25"/>
      <c r="D319" s="25"/>
      <c r="E319" s="25"/>
      <c r="F319" s="25"/>
      <c r="G319" s="25"/>
      <c r="H319" s="25"/>
      <c r="I319" s="25"/>
      <c r="J319" s="25"/>
      <c r="K319" s="25"/>
      <c r="L319" s="25"/>
      <c r="M319" s="495"/>
      <c r="N319" s="63"/>
      <c r="O319" s="63"/>
      <c r="P319" s="496"/>
      <c r="Q319" s="497"/>
      <c r="R319" s="63"/>
      <c r="S319" s="498"/>
      <c r="T319" s="63"/>
      <c r="U319" s="63"/>
      <c r="V319" s="499"/>
      <c r="W319" s="499"/>
      <c r="X319" s="63"/>
      <c r="Y319" s="63"/>
      <c r="Z319" s="500"/>
      <c r="AA319" s="63"/>
      <c r="AB319" s="63"/>
      <c r="AC319" s="63"/>
      <c r="AD319" s="63"/>
      <c r="AE319" s="63"/>
      <c r="AF319" s="63"/>
      <c r="AG319" s="63"/>
      <c r="AH319" s="63"/>
      <c r="AI319" s="501"/>
      <c r="AJ319" s="63"/>
      <c r="AK319" s="25"/>
      <c r="AL319" s="25"/>
      <c r="AM319" s="25"/>
    </row>
    <row r="320" ht="14" spans="1:39">
      <c r="A320" s="25"/>
      <c r="B320" s="63"/>
      <c r="C320" s="25"/>
      <c r="D320" s="25"/>
      <c r="E320" s="25"/>
      <c r="F320" s="25"/>
      <c r="G320" s="25"/>
      <c r="H320" s="25"/>
      <c r="I320" s="25"/>
      <c r="J320" s="25"/>
      <c r="K320" s="25"/>
      <c r="L320" s="25"/>
      <c r="M320" s="495"/>
      <c r="N320" s="63"/>
      <c r="O320" s="63"/>
      <c r="P320" s="496"/>
      <c r="Q320" s="497"/>
      <c r="R320" s="63"/>
      <c r="S320" s="498"/>
      <c r="T320" s="63"/>
      <c r="U320" s="63"/>
      <c r="V320" s="499"/>
      <c r="W320" s="499"/>
      <c r="X320" s="63"/>
      <c r="Y320" s="63"/>
      <c r="Z320" s="500"/>
      <c r="AA320" s="63"/>
      <c r="AB320" s="63"/>
      <c r="AC320" s="63"/>
      <c r="AD320" s="63"/>
      <c r="AE320" s="63"/>
      <c r="AF320" s="63"/>
      <c r="AG320" s="63"/>
      <c r="AH320" s="63"/>
      <c r="AI320" s="501"/>
      <c r="AJ320" s="63"/>
      <c r="AK320" s="25"/>
      <c r="AL320" s="25"/>
      <c r="AM320" s="25"/>
    </row>
    <row r="321" ht="14" spans="1:39">
      <c r="A321" s="25"/>
      <c r="B321" s="63"/>
      <c r="C321" s="25"/>
      <c r="D321" s="25"/>
      <c r="E321" s="25"/>
      <c r="F321" s="25"/>
      <c r="G321" s="25"/>
      <c r="H321" s="25"/>
      <c r="I321" s="25"/>
      <c r="J321" s="25"/>
      <c r="K321" s="25"/>
      <c r="L321" s="25"/>
      <c r="M321" s="495"/>
      <c r="N321" s="63"/>
      <c r="O321" s="63"/>
      <c r="P321" s="496"/>
      <c r="Q321" s="497"/>
      <c r="R321" s="63"/>
      <c r="S321" s="498"/>
      <c r="T321" s="63"/>
      <c r="U321" s="63"/>
      <c r="V321" s="499"/>
      <c r="W321" s="499"/>
      <c r="X321" s="63"/>
      <c r="Y321" s="63"/>
      <c r="Z321" s="500"/>
      <c r="AA321" s="63"/>
      <c r="AB321" s="63"/>
      <c r="AC321" s="63"/>
      <c r="AD321" s="63"/>
      <c r="AE321" s="63"/>
      <c r="AF321" s="63"/>
      <c r="AG321" s="63"/>
      <c r="AH321" s="63"/>
      <c r="AI321" s="501"/>
      <c r="AJ321" s="63"/>
      <c r="AK321" s="25"/>
      <c r="AL321" s="25"/>
      <c r="AM321" s="25"/>
    </row>
    <row r="322" ht="14" spans="1:39">
      <c r="A322" s="25"/>
      <c r="B322" s="63"/>
      <c r="C322" s="25"/>
      <c r="D322" s="25"/>
      <c r="E322" s="25"/>
      <c r="F322" s="25"/>
      <c r="G322" s="25"/>
      <c r="H322" s="25"/>
      <c r="I322" s="25"/>
      <c r="J322" s="25"/>
      <c r="K322" s="25"/>
      <c r="L322" s="25"/>
      <c r="M322" s="495"/>
      <c r="N322" s="63"/>
      <c r="O322" s="63"/>
      <c r="P322" s="496"/>
      <c r="Q322" s="497"/>
      <c r="R322" s="63"/>
      <c r="S322" s="498"/>
      <c r="T322" s="63"/>
      <c r="U322" s="63"/>
      <c r="V322" s="499"/>
      <c r="W322" s="499"/>
      <c r="X322" s="63"/>
      <c r="Y322" s="63"/>
      <c r="Z322" s="500"/>
      <c r="AA322" s="63"/>
      <c r="AB322" s="63"/>
      <c r="AC322" s="63"/>
      <c r="AD322" s="63"/>
      <c r="AE322" s="63"/>
      <c r="AF322" s="63"/>
      <c r="AG322" s="63"/>
      <c r="AH322" s="63"/>
      <c r="AI322" s="501"/>
      <c r="AJ322" s="63"/>
      <c r="AK322" s="25"/>
      <c r="AL322" s="25"/>
      <c r="AM322" s="25"/>
    </row>
    <row r="323" ht="14" spans="1:39">
      <c r="A323" s="25"/>
      <c r="B323" s="63"/>
      <c r="C323" s="25"/>
      <c r="D323" s="25"/>
      <c r="E323" s="25"/>
      <c r="F323" s="25"/>
      <c r="G323" s="25"/>
      <c r="H323" s="25"/>
      <c r="I323" s="25"/>
      <c r="J323" s="25"/>
      <c r="K323" s="25"/>
      <c r="L323" s="25"/>
      <c r="M323" s="495"/>
      <c r="N323" s="63"/>
      <c r="O323" s="63"/>
      <c r="P323" s="496"/>
      <c r="Q323" s="497"/>
      <c r="R323" s="63"/>
      <c r="S323" s="498"/>
      <c r="T323" s="63"/>
      <c r="U323" s="63"/>
      <c r="V323" s="499"/>
      <c r="W323" s="499"/>
      <c r="X323" s="63"/>
      <c r="Y323" s="63"/>
      <c r="Z323" s="500"/>
      <c r="AA323" s="63"/>
      <c r="AB323" s="63"/>
      <c r="AC323" s="63"/>
      <c r="AD323" s="63"/>
      <c r="AE323" s="63"/>
      <c r="AF323" s="63"/>
      <c r="AG323" s="63"/>
      <c r="AH323" s="63"/>
      <c r="AI323" s="501"/>
      <c r="AJ323" s="63"/>
      <c r="AK323" s="25"/>
      <c r="AL323" s="25"/>
      <c r="AM323" s="25"/>
    </row>
    <row r="324" ht="14" spans="1:39">
      <c r="A324" s="25"/>
      <c r="B324" s="63"/>
      <c r="C324" s="25"/>
      <c r="D324" s="25"/>
      <c r="E324" s="25"/>
      <c r="F324" s="25"/>
      <c r="G324" s="25"/>
      <c r="H324" s="25"/>
      <c r="I324" s="25"/>
      <c r="J324" s="25"/>
      <c r="K324" s="25"/>
      <c r="L324" s="25"/>
      <c r="M324" s="495"/>
      <c r="N324" s="63"/>
      <c r="O324" s="63"/>
      <c r="P324" s="496"/>
      <c r="Q324" s="497"/>
      <c r="R324" s="63"/>
      <c r="S324" s="498"/>
      <c r="T324" s="63"/>
      <c r="U324" s="63"/>
      <c r="V324" s="499"/>
      <c r="W324" s="499"/>
      <c r="X324" s="63"/>
      <c r="Y324" s="63"/>
      <c r="Z324" s="500"/>
      <c r="AA324" s="63"/>
      <c r="AB324" s="63"/>
      <c r="AC324" s="63"/>
      <c r="AD324" s="63"/>
      <c r="AE324" s="63"/>
      <c r="AF324" s="63"/>
      <c r="AG324" s="63"/>
      <c r="AH324" s="63"/>
      <c r="AI324" s="501"/>
      <c r="AJ324" s="63"/>
      <c r="AK324" s="25"/>
      <c r="AL324" s="25"/>
      <c r="AM324" s="25"/>
    </row>
    <row r="325" ht="14" spans="1:39">
      <c r="A325" s="25"/>
      <c r="B325" s="63"/>
      <c r="C325" s="25"/>
      <c r="D325" s="25"/>
      <c r="E325" s="25"/>
      <c r="F325" s="25"/>
      <c r="G325" s="25"/>
      <c r="H325" s="25"/>
      <c r="I325" s="25"/>
      <c r="J325" s="25"/>
      <c r="K325" s="25"/>
      <c r="L325" s="25"/>
      <c r="M325" s="495"/>
      <c r="N325" s="63"/>
      <c r="O325" s="63"/>
      <c r="P325" s="496"/>
      <c r="Q325" s="497"/>
      <c r="R325" s="63"/>
      <c r="S325" s="498"/>
      <c r="T325" s="63"/>
      <c r="U325" s="63"/>
      <c r="V325" s="499"/>
      <c r="W325" s="499"/>
      <c r="X325" s="63"/>
      <c r="Y325" s="63"/>
      <c r="Z325" s="500"/>
      <c r="AA325" s="63"/>
      <c r="AB325" s="63"/>
      <c r="AC325" s="63"/>
      <c r="AD325" s="63"/>
      <c r="AE325" s="63"/>
      <c r="AF325" s="63"/>
      <c r="AG325" s="63"/>
      <c r="AH325" s="63"/>
      <c r="AI325" s="501"/>
      <c r="AJ325" s="63"/>
      <c r="AK325" s="25"/>
      <c r="AL325" s="25"/>
      <c r="AM325" s="25"/>
    </row>
    <row r="326" ht="14" spans="1:39">
      <c r="A326" s="25"/>
      <c r="B326" s="63"/>
      <c r="C326" s="25"/>
      <c r="D326" s="25"/>
      <c r="E326" s="25"/>
      <c r="F326" s="25"/>
      <c r="G326" s="25"/>
      <c r="H326" s="25"/>
      <c r="I326" s="25"/>
      <c r="J326" s="25"/>
      <c r="K326" s="25"/>
      <c r="L326" s="25"/>
      <c r="M326" s="495"/>
      <c r="N326" s="63"/>
      <c r="O326" s="63"/>
      <c r="P326" s="496"/>
      <c r="Q326" s="497"/>
      <c r="R326" s="63"/>
      <c r="S326" s="498"/>
      <c r="T326" s="63"/>
      <c r="U326" s="63"/>
      <c r="V326" s="499"/>
      <c r="W326" s="499"/>
      <c r="X326" s="63"/>
      <c r="Y326" s="63"/>
      <c r="Z326" s="500"/>
      <c r="AA326" s="63"/>
      <c r="AB326" s="63"/>
      <c r="AC326" s="63"/>
      <c r="AD326" s="63"/>
      <c r="AE326" s="63"/>
      <c r="AF326" s="63"/>
      <c r="AG326" s="63"/>
      <c r="AH326" s="63"/>
      <c r="AI326" s="501"/>
      <c r="AJ326" s="63"/>
      <c r="AK326" s="25"/>
      <c r="AL326" s="25"/>
      <c r="AM326" s="25"/>
    </row>
    <row r="327" ht="14" spans="1:39">
      <c r="A327" s="25"/>
      <c r="B327" s="63"/>
      <c r="C327" s="25"/>
      <c r="D327" s="25"/>
      <c r="E327" s="25"/>
      <c r="F327" s="25"/>
      <c r="G327" s="25"/>
      <c r="H327" s="25"/>
      <c r="I327" s="25"/>
      <c r="J327" s="25"/>
      <c r="K327" s="25"/>
      <c r="L327" s="25"/>
      <c r="M327" s="495"/>
      <c r="N327" s="63"/>
      <c r="O327" s="63"/>
      <c r="P327" s="496"/>
      <c r="Q327" s="497"/>
      <c r="R327" s="63"/>
      <c r="S327" s="498"/>
      <c r="T327" s="63"/>
      <c r="U327" s="63"/>
      <c r="V327" s="499"/>
      <c r="W327" s="499"/>
      <c r="X327" s="63"/>
      <c r="Y327" s="63"/>
      <c r="Z327" s="500"/>
      <c r="AA327" s="63"/>
      <c r="AB327" s="63"/>
      <c r="AC327" s="63"/>
      <c r="AD327" s="63"/>
      <c r="AE327" s="63"/>
      <c r="AF327" s="63"/>
      <c r="AG327" s="63"/>
      <c r="AH327" s="63"/>
      <c r="AI327" s="501"/>
      <c r="AJ327" s="63"/>
      <c r="AK327" s="25"/>
      <c r="AL327" s="25"/>
      <c r="AM327" s="25"/>
    </row>
    <row r="328" ht="14" spans="1:39">
      <c r="A328" s="25"/>
      <c r="B328" s="63"/>
      <c r="C328" s="25"/>
      <c r="D328" s="25"/>
      <c r="E328" s="25"/>
      <c r="F328" s="25"/>
      <c r="G328" s="25"/>
      <c r="H328" s="25"/>
      <c r="I328" s="25"/>
      <c r="J328" s="25"/>
      <c r="K328" s="25"/>
      <c r="L328" s="25"/>
      <c r="M328" s="495"/>
      <c r="N328" s="63"/>
      <c r="O328" s="63"/>
      <c r="P328" s="496"/>
      <c r="Q328" s="497"/>
      <c r="R328" s="63"/>
      <c r="S328" s="498"/>
      <c r="T328" s="63"/>
      <c r="U328" s="63"/>
      <c r="V328" s="499"/>
      <c r="W328" s="499"/>
      <c r="X328" s="63"/>
      <c r="Y328" s="63"/>
      <c r="Z328" s="500"/>
      <c r="AA328" s="63"/>
      <c r="AB328" s="63"/>
      <c r="AC328" s="63"/>
      <c r="AD328" s="63"/>
      <c r="AE328" s="63"/>
      <c r="AF328" s="63"/>
      <c r="AG328" s="63"/>
      <c r="AH328" s="63"/>
      <c r="AI328" s="501"/>
      <c r="AJ328" s="63"/>
      <c r="AK328" s="25"/>
      <c r="AL328" s="25"/>
      <c r="AM328" s="25"/>
    </row>
    <row r="329" ht="14" spans="1:39">
      <c r="A329" s="25"/>
      <c r="B329" s="63"/>
      <c r="C329" s="25"/>
      <c r="D329" s="25"/>
      <c r="E329" s="25"/>
      <c r="F329" s="25"/>
      <c r="G329" s="25"/>
      <c r="H329" s="25"/>
      <c r="I329" s="25"/>
      <c r="J329" s="25"/>
      <c r="K329" s="25"/>
      <c r="L329" s="25"/>
      <c r="M329" s="495"/>
      <c r="N329" s="63"/>
      <c r="O329" s="63"/>
      <c r="P329" s="496"/>
      <c r="Q329" s="497"/>
      <c r="R329" s="63"/>
      <c r="S329" s="498"/>
      <c r="T329" s="63"/>
      <c r="U329" s="63"/>
      <c r="V329" s="499"/>
      <c r="W329" s="499"/>
      <c r="X329" s="63"/>
      <c r="Y329" s="63"/>
      <c r="Z329" s="500"/>
      <c r="AA329" s="63"/>
      <c r="AB329" s="63"/>
      <c r="AC329" s="63"/>
      <c r="AD329" s="63"/>
      <c r="AE329" s="63"/>
      <c r="AF329" s="63"/>
      <c r="AG329" s="63"/>
      <c r="AH329" s="63"/>
      <c r="AI329" s="501"/>
      <c r="AJ329" s="63"/>
      <c r="AK329" s="25"/>
      <c r="AL329" s="25"/>
      <c r="AM329" s="25"/>
    </row>
    <row r="330" ht="14" spans="1:39">
      <c r="A330" s="25"/>
      <c r="B330" s="63"/>
      <c r="C330" s="25"/>
      <c r="D330" s="25"/>
      <c r="E330" s="25"/>
      <c r="F330" s="25"/>
      <c r="G330" s="25"/>
      <c r="H330" s="25"/>
      <c r="I330" s="25"/>
      <c r="J330" s="25"/>
      <c r="K330" s="25"/>
      <c r="L330" s="25"/>
      <c r="M330" s="495"/>
      <c r="N330" s="63"/>
      <c r="O330" s="63"/>
      <c r="P330" s="496"/>
      <c r="Q330" s="497"/>
      <c r="R330" s="63"/>
      <c r="S330" s="498"/>
      <c r="T330" s="63"/>
      <c r="U330" s="63"/>
      <c r="V330" s="499"/>
      <c r="W330" s="499"/>
      <c r="X330" s="63"/>
      <c r="Y330" s="63"/>
      <c r="Z330" s="500"/>
      <c r="AA330" s="63"/>
      <c r="AB330" s="63"/>
      <c r="AC330" s="63"/>
      <c r="AD330" s="63"/>
      <c r="AE330" s="63"/>
      <c r="AF330" s="63"/>
      <c r="AG330" s="63"/>
      <c r="AH330" s="63"/>
      <c r="AI330" s="501"/>
      <c r="AJ330" s="63"/>
      <c r="AK330" s="25"/>
      <c r="AL330" s="25"/>
      <c r="AM330" s="25"/>
    </row>
    <row r="331" ht="14" spans="1:39">
      <c r="A331" s="25"/>
      <c r="B331" s="63"/>
      <c r="C331" s="25"/>
      <c r="D331" s="25"/>
      <c r="E331" s="25"/>
      <c r="F331" s="25"/>
      <c r="G331" s="25"/>
      <c r="H331" s="25"/>
      <c r="I331" s="25"/>
      <c r="J331" s="25"/>
      <c r="K331" s="25"/>
      <c r="L331" s="25"/>
      <c r="M331" s="495"/>
      <c r="N331" s="63"/>
      <c r="O331" s="63"/>
      <c r="P331" s="496"/>
      <c r="Q331" s="497"/>
      <c r="R331" s="63"/>
      <c r="S331" s="498"/>
      <c r="T331" s="63"/>
      <c r="U331" s="63"/>
      <c r="V331" s="499"/>
      <c r="W331" s="499"/>
      <c r="X331" s="63"/>
      <c r="Y331" s="63"/>
      <c r="Z331" s="500"/>
      <c r="AA331" s="63"/>
      <c r="AB331" s="63"/>
      <c r="AC331" s="63"/>
      <c r="AD331" s="63"/>
      <c r="AE331" s="63"/>
      <c r="AF331" s="63"/>
      <c r="AG331" s="63"/>
      <c r="AH331" s="63"/>
      <c r="AI331" s="501"/>
      <c r="AJ331" s="63"/>
      <c r="AK331" s="25"/>
      <c r="AL331" s="25"/>
      <c r="AM331" s="25"/>
    </row>
    <row r="332" ht="14" spans="1:39">
      <c r="A332" s="25"/>
      <c r="B332" s="63"/>
      <c r="C332" s="25"/>
      <c r="D332" s="25"/>
      <c r="E332" s="25"/>
      <c r="F332" s="25"/>
      <c r="G332" s="25"/>
      <c r="H332" s="25"/>
      <c r="I332" s="25"/>
      <c r="J332" s="25"/>
      <c r="K332" s="25"/>
      <c r="L332" s="25"/>
      <c r="M332" s="495"/>
      <c r="N332" s="63"/>
      <c r="O332" s="63"/>
      <c r="P332" s="496"/>
      <c r="Q332" s="497"/>
      <c r="R332" s="63"/>
      <c r="S332" s="498"/>
      <c r="T332" s="63"/>
      <c r="U332" s="63"/>
      <c r="V332" s="499"/>
      <c r="W332" s="499"/>
      <c r="X332" s="63"/>
      <c r="Y332" s="63"/>
      <c r="Z332" s="500"/>
      <c r="AA332" s="63"/>
      <c r="AB332" s="63"/>
      <c r="AC332" s="63"/>
      <c r="AD332" s="63"/>
      <c r="AE332" s="63"/>
      <c r="AF332" s="63"/>
      <c r="AG332" s="63"/>
      <c r="AH332" s="63"/>
      <c r="AI332" s="501"/>
      <c r="AJ332" s="63"/>
      <c r="AK332" s="25"/>
      <c r="AL332" s="25"/>
      <c r="AM332" s="25"/>
    </row>
    <row r="333" ht="14" spans="1:39">
      <c r="A333" s="25"/>
      <c r="B333" s="63"/>
      <c r="C333" s="25"/>
      <c r="D333" s="25"/>
      <c r="E333" s="25"/>
      <c r="F333" s="25"/>
      <c r="G333" s="25"/>
      <c r="H333" s="25"/>
      <c r="I333" s="25"/>
      <c r="J333" s="25"/>
      <c r="K333" s="25"/>
      <c r="L333" s="25"/>
      <c r="M333" s="495"/>
      <c r="N333" s="63"/>
      <c r="O333" s="63"/>
      <c r="P333" s="496"/>
      <c r="Q333" s="497"/>
      <c r="R333" s="63"/>
      <c r="S333" s="498"/>
      <c r="T333" s="63"/>
      <c r="U333" s="63"/>
      <c r="V333" s="499"/>
      <c r="W333" s="499"/>
      <c r="X333" s="63"/>
      <c r="Y333" s="63"/>
      <c r="Z333" s="500"/>
      <c r="AA333" s="63"/>
      <c r="AB333" s="63"/>
      <c r="AC333" s="63"/>
      <c r="AD333" s="63"/>
      <c r="AE333" s="63"/>
      <c r="AF333" s="63"/>
      <c r="AG333" s="63"/>
      <c r="AH333" s="63"/>
      <c r="AI333" s="501"/>
      <c r="AJ333" s="63"/>
      <c r="AK333" s="25"/>
      <c r="AL333" s="25"/>
      <c r="AM333" s="25"/>
    </row>
    <row r="334" ht="14" spans="1:39">
      <c r="A334" s="25"/>
      <c r="B334" s="63"/>
      <c r="C334" s="25"/>
      <c r="D334" s="25"/>
      <c r="E334" s="25"/>
      <c r="F334" s="25"/>
      <c r="G334" s="25"/>
      <c r="H334" s="25"/>
      <c r="I334" s="25"/>
      <c r="J334" s="25"/>
      <c r="K334" s="25"/>
      <c r="L334" s="25"/>
      <c r="M334" s="495"/>
      <c r="N334" s="63"/>
      <c r="O334" s="63"/>
      <c r="P334" s="496"/>
      <c r="Q334" s="497"/>
      <c r="R334" s="63"/>
      <c r="S334" s="498"/>
      <c r="T334" s="63"/>
      <c r="U334" s="63"/>
      <c r="V334" s="499"/>
      <c r="W334" s="499"/>
      <c r="X334" s="63"/>
      <c r="Y334" s="63"/>
      <c r="Z334" s="500"/>
      <c r="AA334" s="63"/>
      <c r="AB334" s="63"/>
      <c r="AC334" s="63"/>
      <c r="AD334" s="63"/>
      <c r="AE334" s="63"/>
      <c r="AF334" s="63"/>
      <c r="AG334" s="63"/>
      <c r="AH334" s="63"/>
      <c r="AI334" s="501"/>
      <c r="AJ334" s="63"/>
      <c r="AK334" s="25"/>
      <c r="AL334" s="25"/>
      <c r="AM334" s="25"/>
    </row>
    <row r="335" ht="14" spans="1:39">
      <c r="A335" s="25"/>
      <c r="B335" s="63"/>
      <c r="C335" s="25"/>
      <c r="D335" s="25"/>
      <c r="E335" s="25"/>
      <c r="F335" s="25"/>
      <c r="G335" s="25"/>
      <c r="H335" s="25"/>
      <c r="I335" s="25"/>
      <c r="J335" s="25"/>
      <c r="K335" s="25"/>
      <c r="L335" s="25"/>
      <c r="M335" s="495"/>
      <c r="N335" s="63"/>
      <c r="O335" s="63"/>
      <c r="P335" s="496"/>
      <c r="Q335" s="497"/>
      <c r="R335" s="63"/>
      <c r="S335" s="498"/>
      <c r="T335" s="63"/>
      <c r="U335" s="63"/>
      <c r="V335" s="499"/>
      <c r="W335" s="499"/>
      <c r="X335" s="63"/>
      <c r="Y335" s="63"/>
      <c r="Z335" s="500"/>
      <c r="AA335" s="63"/>
      <c r="AB335" s="63"/>
      <c r="AC335" s="63"/>
      <c r="AD335" s="63"/>
      <c r="AE335" s="63"/>
      <c r="AF335" s="63"/>
      <c r="AG335" s="63"/>
      <c r="AH335" s="63"/>
      <c r="AI335" s="501"/>
      <c r="AJ335" s="63"/>
      <c r="AK335" s="25"/>
      <c r="AL335" s="25"/>
      <c r="AM335" s="25"/>
    </row>
    <row r="336" ht="14" spans="1:39">
      <c r="A336" s="25"/>
      <c r="B336" s="63"/>
      <c r="C336" s="25"/>
      <c r="D336" s="25"/>
      <c r="E336" s="25"/>
      <c r="F336" s="25"/>
      <c r="G336" s="25"/>
      <c r="H336" s="25"/>
      <c r="I336" s="25"/>
      <c r="J336" s="25"/>
      <c r="K336" s="25"/>
      <c r="L336" s="25"/>
      <c r="M336" s="495"/>
      <c r="N336" s="63"/>
      <c r="O336" s="63"/>
      <c r="P336" s="496"/>
      <c r="Q336" s="497"/>
      <c r="R336" s="63"/>
      <c r="S336" s="498"/>
      <c r="T336" s="63"/>
      <c r="U336" s="63"/>
      <c r="V336" s="499"/>
      <c r="W336" s="499"/>
      <c r="X336" s="63"/>
      <c r="Y336" s="63"/>
      <c r="Z336" s="500"/>
      <c r="AA336" s="63"/>
      <c r="AB336" s="63"/>
      <c r="AC336" s="63"/>
      <c r="AD336" s="63"/>
      <c r="AE336" s="63"/>
      <c r="AF336" s="63"/>
      <c r="AG336" s="63"/>
      <c r="AH336" s="63"/>
      <c r="AI336" s="501"/>
      <c r="AJ336" s="63"/>
      <c r="AK336" s="25"/>
      <c r="AL336" s="25"/>
      <c r="AM336" s="25"/>
    </row>
    <row r="337" ht="14" spans="1:39">
      <c r="A337" s="25"/>
      <c r="B337" s="63"/>
      <c r="C337" s="25"/>
      <c r="D337" s="25"/>
      <c r="E337" s="25"/>
      <c r="F337" s="25"/>
      <c r="G337" s="25"/>
      <c r="H337" s="25"/>
      <c r="I337" s="25"/>
      <c r="J337" s="25"/>
      <c r="K337" s="25"/>
      <c r="L337" s="25"/>
      <c r="M337" s="495"/>
      <c r="N337" s="63"/>
      <c r="O337" s="63"/>
      <c r="P337" s="496"/>
      <c r="Q337" s="497"/>
      <c r="R337" s="63"/>
      <c r="S337" s="498"/>
      <c r="T337" s="63"/>
      <c r="U337" s="63"/>
      <c r="V337" s="499"/>
      <c r="W337" s="499"/>
      <c r="X337" s="63"/>
      <c r="Y337" s="63"/>
      <c r="Z337" s="500"/>
      <c r="AA337" s="63"/>
      <c r="AB337" s="63"/>
      <c r="AC337" s="63"/>
      <c r="AD337" s="63"/>
      <c r="AE337" s="63"/>
      <c r="AF337" s="63"/>
      <c r="AG337" s="63"/>
      <c r="AH337" s="63"/>
      <c r="AI337" s="501"/>
      <c r="AJ337" s="63"/>
      <c r="AK337" s="25"/>
      <c r="AL337" s="25"/>
      <c r="AM337" s="25"/>
    </row>
    <row r="338" ht="14" spans="1:39">
      <c r="A338" s="25"/>
      <c r="B338" s="63"/>
      <c r="C338" s="25"/>
      <c r="D338" s="25"/>
      <c r="E338" s="25"/>
      <c r="F338" s="25"/>
      <c r="G338" s="25"/>
      <c r="H338" s="25"/>
      <c r="I338" s="25"/>
      <c r="J338" s="25"/>
      <c r="K338" s="25"/>
      <c r="L338" s="25"/>
      <c r="M338" s="495"/>
      <c r="N338" s="63"/>
      <c r="O338" s="63"/>
      <c r="P338" s="496"/>
      <c r="Q338" s="497"/>
      <c r="R338" s="63"/>
      <c r="S338" s="498"/>
      <c r="T338" s="63"/>
      <c r="U338" s="63"/>
      <c r="V338" s="499"/>
      <c r="W338" s="499"/>
      <c r="X338" s="63"/>
      <c r="Y338" s="63"/>
      <c r="Z338" s="500"/>
      <c r="AA338" s="63"/>
      <c r="AB338" s="63"/>
      <c r="AC338" s="63"/>
      <c r="AD338" s="63"/>
      <c r="AE338" s="63"/>
      <c r="AF338" s="63"/>
      <c r="AG338" s="63"/>
      <c r="AH338" s="63"/>
      <c r="AI338" s="501"/>
      <c r="AJ338" s="63"/>
      <c r="AK338" s="25"/>
      <c r="AL338" s="25"/>
      <c r="AM338" s="25"/>
    </row>
    <row r="339" ht="14" spans="1:39">
      <c r="A339" s="25"/>
      <c r="B339" s="63"/>
      <c r="C339" s="25"/>
      <c r="D339" s="25"/>
      <c r="E339" s="25"/>
      <c r="F339" s="25"/>
      <c r="G339" s="25"/>
      <c r="H339" s="25"/>
      <c r="I339" s="25"/>
      <c r="J339" s="25"/>
      <c r="K339" s="25"/>
      <c r="L339" s="25"/>
      <c r="M339" s="495"/>
      <c r="N339" s="63"/>
      <c r="O339" s="63"/>
      <c r="P339" s="496"/>
      <c r="Q339" s="497"/>
      <c r="R339" s="63"/>
      <c r="S339" s="498"/>
      <c r="T339" s="63"/>
      <c r="U339" s="63"/>
      <c r="V339" s="499"/>
      <c r="W339" s="499"/>
      <c r="X339" s="63"/>
      <c r="Y339" s="63"/>
      <c r="Z339" s="500"/>
      <c r="AA339" s="63"/>
      <c r="AB339" s="63"/>
      <c r="AC339" s="63"/>
      <c r="AD339" s="63"/>
      <c r="AE339" s="63"/>
      <c r="AF339" s="63"/>
      <c r="AG339" s="63"/>
      <c r="AH339" s="63"/>
      <c r="AI339" s="501"/>
      <c r="AJ339" s="63"/>
      <c r="AK339" s="25"/>
      <c r="AL339" s="25"/>
      <c r="AM339" s="25"/>
    </row>
    <row r="340" ht="14" spans="1:39">
      <c r="A340" s="25"/>
      <c r="B340" s="63"/>
      <c r="C340" s="25"/>
      <c r="D340" s="25"/>
      <c r="E340" s="25"/>
      <c r="F340" s="25"/>
      <c r="G340" s="25"/>
      <c r="H340" s="25"/>
      <c r="I340" s="25"/>
      <c r="J340" s="25"/>
      <c r="K340" s="25"/>
      <c r="L340" s="25"/>
      <c r="M340" s="495"/>
      <c r="N340" s="63"/>
      <c r="O340" s="63"/>
      <c r="P340" s="496"/>
      <c r="Q340" s="497"/>
      <c r="R340" s="63"/>
      <c r="S340" s="498"/>
      <c r="T340" s="63"/>
      <c r="U340" s="63"/>
      <c r="V340" s="499"/>
      <c r="W340" s="499"/>
      <c r="X340" s="63"/>
      <c r="Y340" s="63"/>
      <c r="Z340" s="500"/>
      <c r="AA340" s="63"/>
      <c r="AB340" s="63"/>
      <c r="AC340" s="63"/>
      <c r="AD340" s="63"/>
      <c r="AE340" s="63"/>
      <c r="AF340" s="63"/>
      <c r="AG340" s="63"/>
      <c r="AH340" s="63"/>
      <c r="AI340" s="501"/>
      <c r="AJ340" s="63"/>
      <c r="AK340" s="25"/>
      <c r="AL340" s="25"/>
      <c r="AM340" s="25"/>
    </row>
    <row r="341" ht="14" spans="1:39">
      <c r="A341" s="25"/>
      <c r="B341" s="63"/>
      <c r="C341" s="25"/>
      <c r="D341" s="25"/>
      <c r="E341" s="25"/>
      <c r="F341" s="25"/>
      <c r="G341" s="25"/>
      <c r="H341" s="25"/>
      <c r="I341" s="25"/>
      <c r="J341" s="25"/>
      <c r="K341" s="25"/>
      <c r="L341" s="25"/>
      <c r="M341" s="495"/>
      <c r="N341" s="63"/>
      <c r="O341" s="63"/>
      <c r="P341" s="496"/>
      <c r="Q341" s="497"/>
      <c r="R341" s="63"/>
      <c r="S341" s="498"/>
      <c r="T341" s="63"/>
      <c r="U341" s="63"/>
      <c r="V341" s="499"/>
      <c r="W341" s="499"/>
      <c r="X341" s="63"/>
      <c r="Y341" s="63"/>
      <c r="Z341" s="500"/>
      <c r="AA341" s="63"/>
      <c r="AB341" s="63"/>
      <c r="AC341" s="63"/>
      <c r="AD341" s="63"/>
      <c r="AE341" s="63"/>
      <c r="AF341" s="63"/>
      <c r="AG341" s="63"/>
      <c r="AH341" s="63"/>
      <c r="AI341" s="501"/>
      <c r="AJ341" s="63"/>
      <c r="AK341" s="25"/>
      <c r="AL341" s="25"/>
      <c r="AM341" s="25"/>
    </row>
    <row r="342" ht="14" spans="1:39">
      <c r="A342" s="25"/>
      <c r="B342" s="63"/>
      <c r="C342" s="25"/>
      <c r="D342" s="25"/>
      <c r="E342" s="25"/>
      <c r="F342" s="25"/>
      <c r="G342" s="25"/>
      <c r="H342" s="25"/>
      <c r="I342" s="25"/>
      <c r="J342" s="25"/>
      <c r="K342" s="25"/>
      <c r="L342" s="25"/>
      <c r="M342" s="495"/>
      <c r="N342" s="63"/>
      <c r="O342" s="63"/>
      <c r="P342" s="496"/>
      <c r="Q342" s="497"/>
      <c r="R342" s="63"/>
      <c r="S342" s="498"/>
      <c r="T342" s="63"/>
      <c r="U342" s="63"/>
      <c r="V342" s="499"/>
      <c r="W342" s="499"/>
      <c r="X342" s="63"/>
      <c r="Y342" s="63"/>
      <c r="Z342" s="500"/>
      <c r="AA342" s="63"/>
      <c r="AB342" s="63"/>
      <c r="AC342" s="63"/>
      <c r="AD342" s="63"/>
      <c r="AE342" s="63"/>
      <c r="AF342" s="63"/>
      <c r="AG342" s="63"/>
      <c r="AH342" s="63"/>
      <c r="AI342" s="501"/>
      <c r="AJ342" s="63"/>
      <c r="AK342" s="25"/>
      <c r="AL342" s="25"/>
      <c r="AM342" s="25"/>
    </row>
    <row r="343" ht="14" spans="1:39">
      <c r="A343" s="25"/>
      <c r="B343" s="63"/>
      <c r="C343" s="25"/>
      <c r="D343" s="25"/>
      <c r="E343" s="25"/>
      <c r="F343" s="25"/>
      <c r="G343" s="25"/>
      <c r="H343" s="25"/>
      <c r="I343" s="25"/>
      <c r="J343" s="25"/>
      <c r="K343" s="25"/>
      <c r="L343" s="25"/>
      <c r="M343" s="495"/>
      <c r="N343" s="63"/>
      <c r="O343" s="63"/>
      <c r="P343" s="496"/>
      <c r="Q343" s="497"/>
      <c r="R343" s="63"/>
      <c r="S343" s="498"/>
      <c r="T343" s="63"/>
      <c r="U343" s="63"/>
      <c r="V343" s="499"/>
      <c r="W343" s="499"/>
      <c r="X343" s="63"/>
      <c r="Y343" s="63"/>
      <c r="Z343" s="500"/>
      <c r="AA343" s="63"/>
      <c r="AB343" s="63"/>
      <c r="AC343" s="63"/>
      <c r="AD343" s="63"/>
      <c r="AE343" s="63"/>
      <c r="AF343" s="63"/>
      <c r="AG343" s="63"/>
      <c r="AH343" s="63"/>
      <c r="AI343" s="501"/>
      <c r="AJ343" s="63"/>
      <c r="AK343" s="25"/>
      <c r="AL343" s="25"/>
      <c r="AM343" s="25"/>
    </row>
    <row r="344" ht="14" spans="1:39">
      <c r="A344" s="25"/>
      <c r="B344" s="63"/>
      <c r="C344" s="25"/>
      <c r="D344" s="25"/>
      <c r="E344" s="25"/>
      <c r="F344" s="25"/>
      <c r="G344" s="25"/>
      <c r="H344" s="25"/>
      <c r="I344" s="25"/>
      <c r="J344" s="25"/>
      <c r="K344" s="25"/>
      <c r="L344" s="25"/>
      <c r="M344" s="495"/>
      <c r="N344" s="63"/>
      <c r="O344" s="63"/>
      <c r="P344" s="496"/>
      <c r="Q344" s="497"/>
      <c r="R344" s="63"/>
      <c r="S344" s="498"/>
      <c r="T344" s="63"/>
      <c r="U344" s="63"/>
      <c r="V344" s="499"/>
      <c r="W344" s="499"/>
      <c r="X344" s="63"/>
      <c r="Y344" s="63"/>
      <c r="Z344" s="500"/>
      <c r="AA344" s="63"/>
      <c r="AB344" s="63"/>
      <c r="AC344" s="63"/>
      <c r="AD344" s="63"/>
      <c r="AE344" s="63"/>
      <c r="AF344" s="63"/>
      <c r="AG344" s="63"/>
      <c r="AH344" s="63"/>
      <c r="AI344" s="501"/>
      <c r="AJ344" s="63"/>
      <c r="AK344" s="25"/>
      <c r="AL344" s="25"/>
      <c r="AM344" s="25"/>
    </row>
    <row r="345" ht="14" spans="1:39">
      <c r="A345" s="25"/>
      <c r="B345" s="63"/>
      <c r="C345" s="25"/>
      <c r="D345" s="25"/>
      <c r="E345" s="25"/>
      <c r="F345" s="25"/>
      <c r="G345" s="25"/>
      <c r="H345" s="25"/>
      <c r="I345" s="25"/>
      <c r="J345" s="25"/>
      <c r="K345" s="25"/>
      <c r="L345" s="25"/>
      <c r="M345" s="495"/>
      <c r="N345" s="63"/>
      <c r="O345" s="63"/>
      <c r="P345" s="496"/>
      <c r="Q345" s="497"/>
      <c r="R345" s="63"/>
      <c r="S345" s="498"/>
      <c r="T345" s="63"/>
      <c r="U345" s="63"/>
      <c r="V345" s="499"/>
      <c r="W345" s="499"/>
      <c r="X345" s="63"/>
      <c r="Y345" s="63"/>
      <c r="Z345" s="500"/>
      <c r="AA345" s="63"/>
      <c r="AB345" s="63"/>
      <c r="AC345" s="63"/>
      <c r="AD345" s="63"/>
      <c r="AE345" s="63"/>
      <c r="AF345" s="63"/>
      <c r="AG345" s="63"/>
      <c r="AH345" s="63"/>
      <c r="AI345" s="501"/>
      <c r="AJ345" s="63"/>
      <c r="AK345" s="25"/>
      <c r="AL345" s="25"/>
      <c r="AM345" s="25"/>
    </row>
    <row r="346" ht="14" spans="1:39">
      <c r="A346" s="25"/>
      <c r="B346" s="63"/>
      <c r="C346" s="25"/>
      <c r="D346" s="25"/>
      <c r="E346" s="25"/>
      <c r="F346" s="25"/>
      <c r="G346" s="25"/>
      <c r="H346" s="25"/>
      <c r="I346" s="25"/>
      <c r="J346" s="25"/>
      <c r="K346" s="25"/>
      <c r="L346" s="25"/>
      <c r="M346" s="495"/>
      <c r="N346" s="63"/>
      <c r="O346" s="63"/>
      <c r="P346" s="496"/>
      <c r="Q346" s="497"/>
      <c r="R346" s="63"/>
      <c r="S346" s="498"/>
      <c r="T346" s="63"/>
      <c r="U346" s="63"/>
      <c r="V346" s="499"/>
      <c r="W346" s="499"/>
      <c r="X346" s="63"/>
      <c r="Y346" s="63"/>
      <c r="Z346" s="500"/>
      <c r="AA346" s="63"/>
      <c r="AB346" s="63"/>
      <c r="AC346" s="63"/>
      <c r="AD346" s="63"/>
      <c r="AE346" s="63"/>
      <c r="AF346" s="63"/>
      <c r="AG346" s="63"/>
      <c r="AH346" s="63"/>
      <c r="AI346" s="501"/>
      <c r="AJ346" s="63"/>
      <c r="AK346" s="25"/>
      <c r="AL346" s="25"/>
      <c r="AM346" s="25"/>
    </row>
    <row r="347" ht="14" spans="1:39">
      <c r="A347" s="25"/>
      <c r="B347" s="63"/>
      <c r="C347" s="25"/>
      <c r="D347" s="25"/>
      <c r="E347" s="25"/>
      <c r="F347" s="25"/>
      <c r="G347" s="25"/>
      <c r="H347" s="25"/>
      <c r="I347" s="25"/>
      <c r="J347" s="25"/>
      <c r="K347" s="25"/>
      <c r="L347" s="25"/>
      <c r="M347" s="495"/>
      <c r="N347" s="63"/>
      <c r="O347" s="63"/>
      <c r="P347" s="496"/>
      <c r="Q347" s="497"/>
      <c r="R347" s="63"/>
      <c r="S347" s="498"/>
      <c r="T347" s="63"/>
      <c r="U347" s="63"/>
      <c r="V347" s="499"/>
      <c r="W347" s="499"/>
      <c r="X347" s="63"/>
      <c r="Y347" s="63"/>
      <c r="Z347" s="500"/>
      <c r="AA347" s="63"/>
      <c r="AB347" s="63"/>
      <c r="AC347" s="63"/>
      <c r="AD347" s="63"/>
      <c r="AE347" s="63"/>
      <c r="AF347" s="63"/>
      <c r="AG347" s="63"/>
      <c r="AH347" s="63"/>
      <c r="AI347" s="501"/>
      <c r="AJ347" s="63"/>
      <c r="AK347" s="25"/>
      <c r="AL347" s="25"/>
      <c r="AM347" s="25"/>
    </row>
    <row r="348" ht="14" spans="1:39">
      <c r="A348" s="25"/>
      <c r="B348" s="63"/>
      <c r="C348" s="25"/>
      <c r="D348" s="25"/>
      <c r="E348" s="25"/>
      <c r="F348" s="25"/>
      <c r="G348" s="25"/>
      <c r="H348" s="25"/>
      <c r="I348" s="25"/>
      <c r="J348" s="25"/>
      <c r="K348" s="25"/>
      <c r="L348" s="25"/>
      <c r="M348" s="495"/>
      <c r="N348" s="63"/>
      <c r="O348" s="63"/>
      <c r="P348" s="496"/>
      <c r="Q348" s="497"/>
      <c r="R348" s="63"/>
      <c r="S348" s="498"/>
      <c r="T348" s="63"/>
      <c r="U348" s="63"/>
      <c r="V348" s="499"/>
      <c r="W348" s="499"/>
      <c r="X348" s="63"/>
      <c r="Y348" s="63"/>
      <c r="Z348" s="500"/>
      <c r="AA348" s="63"/>
      <c r="AB348" s="63"/>
      <c r="AC348" s="63"/>
      <c r="AD348" s="63"/>
      <c r="AE348" s="63"/>
      <c r="AF348" s="63"/>
      <c r="AG348" s="63"/>
      <c r="AH348" s="63"/>
      <c r="AI348" s="501"/>
      <c r="AJ348" s="63"/>
      <c r="AK348" s="25"/>
      <c r="AL348" s="25"/>
      <c r="AM348" s="25"/>
    </row>
    <row r="349" ht="14" spans="1:39">
      <c r="A349" s="25"/>
      <c r="B349" s="63"/>
      <c r="C349" s="25"/>
      <c r="D349" s="25"/>
      <c r="E349" s="25"/>
      <c r="F349" s="25"/>
      <c r="G349" s="25"/>
      <c r="H349" s="25"/>
      <c r="I349" s="25"/>
      <c r="J349" s="25"/>
      <c r="K349" s="25"/>
      <c r="L349" s="25"/>
      <c r="M349" s="495"/>
      <c r="N349" s="63"/>
      <c r="O349" s="63"/>
      <c r="P349" s="496"/>
      <c r="Q349" s="497"/>
      <c r="R349" s="63"/>
      <c r="S349" s="498"/>
      <c r="T349" s="63"/>
      <c r="U349" s="63"/>
      <c r="V349" s="499"/>
      <c r="W349" s="499"/>
      <c r="X349" s="63"/>
      <c r="Y349" s="63"/>
      <c r="Z349" s="500"/>
      <c r="AA349" s="63"/>
      <c r="AB349" s="63"/>
      <c r="AC349" s="63"/>
      <c r="AD349" s="63"/>
      <c r="AE349" s="63"/>
      <c r="AF349" s="63"/>
      <c r="AG349" s="63"/>
      <c r="AH349" s="63"/>
      <c r="AI349" s="501"/>
      <c r="AJ349" s="63"/>
      <c r="AK349" s="25"/>
      <c r="AL349" s="25"/>
      <c r="AM349" s="25"/>
    </row>
    <row r="350" ht="14" spans="1:39">
      <c r="A350" s="25"/>
      <c r="B350" s="63"/>
      <c r="C350" s="25"/>
      <c r="D350" s="25"/>
      <c r="E350" s="25"/>
      <c r="F350" s="25"/>
      <c r="G350" s="25"/>
      <c r="H350" s="25"/>
      <c r="I350" s="25"/>
      <c r="J350" s="25"/>
      <c r="K350" s="25"/>
      <c r="L350" s="25"/>
      <c r="M350" s="495"/>
      <c r="N350" s="63"/>
      <c r="O350" s="63"/>
      <c r="P350" s="496"/>
      <c r="Q350" s="497"/>
      <c r="R350" s="63"/>
      <c r="S350" s="498"/>
      <c r="T350" s="63"/>
      <c r="U350" s="63"/>
      <c r="V350" s="499"/>
      <c r="W350" s="499"/>
      <c r="X350" s="63"/>
      <c r="Y350" s="63"/>
      <c r="Z350" s="500"/>
      <c r="AA350" s="63"/>
      <c r="AB350" s="63"/>
      <c r="AC350" s="63"/>
      <c r="AD350" s="63"/>
      <c r="AE350" s="63"/>
      <c r="AF350" s="63"/>
      <c r="AG350" s="63"/>
      <c r="AH350" s="63"/>
      <c r="AI350" s="501"/>
      <c r="AJ350" s="63"/>
      <c r="AK350" s="25"/>
      <c r="AL350" s="25"/>
      <c r="AM350" s="25"/>
    </row>
    <row r="351" ht="14" spans="1:39">
      <c r="A351" s="25"/>
      <c r="B351" s="63"/>
      <c r="C351" s="25"/>
      <c r="D351" s="25"/>
      <c r="E351" s="25"/>
      <c r="F351" s="25"/>
      <c r="G351" s="25"/>
      <c r="H351" s="25"/>
      <c r="I351" s="25"/>
      <c r="J351" s="25"/>
      <c r="K351" s="25"/>
      <c r="L351" s="25"/>
      <c r="M351" s="495"/>
      <c r="N351" s="63"/>
      <c r="O351" s="63"/>
      <c r="P351" s="496"/>
      <c r="Q351" s="497"/>
      <c r="R351" s="63"/>
      <c r="S351" s="498"/>
      <c r="T351" s="63"/>
      <c r="U351" s="63"/>
      <c r="V351" s="499"/>
      <c r="W351" s="499"/>
      <c r="X351" s="63"/>
      <c r="Y351" s="63"/>
      <c r="Z351" s="500"/>
      <c r="AA351" s="63"/>
      <c r="AB351" s="63"/>
      <c r="AC351" s="63"/>
      <c r="AD351" s="63"/>
      <c r="AE351" s="63"/>
      <c r="AF351" s="63"/>
      <c r="AG351" s="63"/>
      <c r="AH351" s="63"/>
      <c r="AI351" s="501"/>
      <c r="AJ351" s="63"/>
      <c r="AK351" s="25"/>
      <c r="AL351" s="25"/>
      <c r="AM351" s="25"/>
    </row>
    <row r="352" ht="14" spans="1:39">
      <c r="A352" s="25"/>
      <c r="B352" s="63"/>
      <c r="C352" s="25"/>
      <c r="D352" s="25"/>
      <c r="E352" s="25"/>
      <c r="F352" s="25"/>
      <c r="G352" s="25"/>
      <c r="H352" s="25"/>
      <c r="I352" s="25"/>
      <c r="J352" s="25"/>
      <c r="K352" s="25"/>
      <c r="L352" s="25"/>
      <c r="M352" s="495"/>
      <c r="N352" s="63"/>
      <c r="O352" s="63"/>
      <c r="P352" s="496"/>
      <c r="Q352" s="497"/>
      <c r="R352" s="63"/>
      <c r="S352" s="498"/>
      <c r="T352" s="63"/>
      <c r="U352" s="63"/>
      <c r="V352" s="499"/>
      <c r="W352" s="499"/>
      <c r="X352" s="63"/>
      <c r="Y352" s="63"/>
      <c r="Z352" s="500"/>
      <c r="AA352" s="63"/>
      <c r="AB352" s="63"/>
      <c r="AC352" s="63"/>
      <c r="AD352" s="63"/>
      <c r="AE352" s="63"/>
      <c r="AF352" s="63"/>
      <c r="AG352" s="63"/>
      <c r="AH352" s="63"/>
      <c r="AI352" s="501"/>
      <c r="AJ352" s="63"/>
      <c r="AK352" s="25"/>
      <c r="AL352" s="25"/>
      <c r="AM352" s="25"/>
    </row>
    <row r="353" ht="14" spans="1:39">
      <c r="A353" s="25"/>
      <c r="B353" s="63"/>
      <c r="C353" s="25"/>
      <c r="D353" s="25"/>
      <c r="E353" s="25"/>
      <c r="F353" s="25"/>
      <c r="G353" s="25"/>
      <c r="H353" s="25"/>
      <c r="I353" s="25"/>
      <c r="J353" s="25"/>
      <c r="K353" s="25"/>
      <c r="L353" s="25"/>
      <c r="M353" s="495"/>
      <c r="N353" s="63"/>
      <c r="O353" s="63"/>
      <c r="P353" s="496"/>
      <c r="Q353" s="497"/>
      <c r="R353" s="63"/>
      <c r="S353" s="498"/>
      <c r="T353" s="63"/>
      <c r="U353" s="63"/>
      <c r="V353" s="499"/>
      <c r="W353" s="499"/>
      <c r="X353" s="63"/>
      <c r="Y353" s="63"/>
      <c r="Z353" s="500"/>
      <c r="AA353" s="63"/>
      <c r="AB353" s="63"/>
      <c r="AC353" s="63"/>
      <c r="AD353" s="63"/>
      <c r="AE353" s="63"/>
      <c r="AF353" s="63"/>
      <c r="AG353" s="63"/>
      <c r="AH353" s="63"/>
      <c r="AI353" s="501"/>
      <c r="AJ353" s="63"/>
      <c r="AK353" s="25"/>
      <c r="AL353" s="25"/>
      <c r="AM353" s="25"/>
    </row>
    <row r="354" ht="14" spans="1:39">
      <c r="A354" s="25"/>
      <c r="B354" s="63"/>
      <c r="C354" s="25"/>
      <c r="D354" s="25"/>
      <c r="E354" s="25"/>
      <c r="F354" s="25"/>
      <c r="G354" s="25"/>
      <c r="H354" s="25"/>
      <c r="I354" s="25"/>
      <c r="J354" s="25"/>
      <c r="K354" s="25"/>
      <c r="L354" s="25"/>
      <c r="M354" s="495"/>
      <c r="N354" s="63"/>
      <c r="O354" s="63"/>
      <c r="P354" s="496"/>
      <c r="Q354" s="497"/>
      <c r="R354" s="63"/>
      <c r="S354" s="498"/>
      <c r="T354" s="63"/>
      <c r="U354" s="63"/>
      <c r="V354" s="499"/>
      <c r="W354" s="499"/>
      <c r="X354" s="63"/>
      <c r="Y354" s="63"/>
      <c r="Z354" s="500"/>
      <c r="AA354" s="63"/>
      <c r="AB354" s="63"/>
      <c r="AC354" s="63"/>
      <c r="AD354" s="63"/>
      <c r="AE354" s="63"/>
      <c r="AF354" s="63"/>
      <c r="AG354" s="63"/>
      <c r="AH354" s="63"/>
      <c r="AI354" s="501"/>
      <c r="AJ354" s="63"/>
      <c r="AK354" s="25"/>
      <c r="AL354" s="25"/>
      <c r="AM354" s="25"/>
    </row>
    <row r="355" ht="14" spans="1:39">
      <c r="A355" s="25"/>
      <c r="B355" s="63"/>
      <c r="C355" s="25"/>
      <c r="D355" s="25"/>
      <c r="E355" s="25"/>
      <c r="F355" s="25"/>
      <c r="G355" s="25"/>
      <c r="H355" s="25"/>
      <c r="I355" s="25"/>
      <c r="J355" s="25"/>
      <c r="K355" s="25"/>
      <c r="L355" s="25"/>
      <c r="M355" s="495"/>
      <c r="N355" s="63"/>
      <c r="O355" s="63"/>
      <c r="P355" s="496"/>
      <c r="Q355" s="497"/>
      <c r="R355" s="63"/>
      <c r="S355" s="498"/>
      <c r="T355" s="63"/>
      <c r="U355" s="63"/>
      <c r="V355" s="499"/>
      <c r="W355" s="499"/>
      <c r="X355" s="63"/>
      <c r="Y355" s="63"/>
      <c r="Z355" s="500"/>
      <c r="AA355" s="63"/>
      <c r="AB355" s="63"/>
      <c r="AC355" s="63"/>
      <c r="AD355" s="63"/>
      <c r="AE355" s="63"/>
      <c r="AF355" s="63"/>
      <c r="AG355" s="63"/>
      <c r="AH355" s="63"/>
      <c r="AI355" s="501"/>
      <c r="AJ355" s="63"/>
      <c r="AK355" s="25"/>
      <c r="AL355" s="25"/>
      <c r="AM355" s="25"/>
    </row>
    <row r="356" ht="14" spans="1:39">
      <c r="A356" s="25"/>
      <c r="B356" s="63"/>
      <c r="C356" s="25"/>
      <c r="D356" s="25"/>
      <c r="E356" s="25"/>
      <c r="F356" s="25"/>
      <c r="G356" s="25"/>
      <c r="H356" s="25"/>
      <c r="I356" s="25"/>
      <c r="J356" s="25"/>
      <c r="K356" s="25"/>
      <c r="L356" s="25"/>
      <c r="M356" s="495"/>
      <c r="N356" s="63"/>
      <c r="O356" s="63"/>
      <c r="P356" s="496"/>
      <c r="Q356" s="497"/>
      <c r="R356" s="63"/>
      <c r="S356" s="498"/>
      <c r="T356" s="63"/>
      <c r="U356" s="63"/>
      <c r="V356" s="499"/>
      <c r="W356" s="499"/>
      <c r="X356" s="63"/>
      <c r="Y356" s="63"/>
      <c r="Z356" s="500"/>
      <c r="AA356" s="63"/>
      <c r="AB356" s="63"/>
      <c r="AC356" s="63"/>
      <c r="AD356" s="63"/>
      <c r="AE356" s="63"/>
      <c r="AF356" s="63"/>
      <c r="AG356" s="63"/>
      <c r="AH356" s="63"/>
      <c r="AI356" s="501"/>
      <c r="AJ356" s="63"/>
      <c r="AK356" s="25"/>
      <c r="AL356" s="25"/>
      <c r="AM356" s="25"/>
    </row>
    <row r="357" ht="14" spans="1:39">
      <c r="A357" s="25"/>
      <c r="B357" s="63"/>
      <c r="C357" s="25"/>
      <c r="D357" s="25"/>
      <c r="E357" s="25"/>
      <c r="F357" s="25"/>
      <c r="G357" s="25"/>
      <c r="H357" s="25"/>
      <c r="I357" s="25"/>
      <c r="J357" s="25"/>
      <c r="K357" s="25"/>
      <c r="L357" s="25"/>
      <c r="M357" s="495"/>
      <c r="N357" s="63"/>
      <c r="O357" s="63"/>
      <c r="P357" s="496"/>
      <c r="Q357" s="497"/>
      <c r="R357" s="63"/>
      <c r="S357" s="498"/>
      <c r="T357" s="63"/>
      <c r="U357" s="63"/>
      <c r="V357" s="499"/>
      <c r="W357" s="499"/>
      <c r="X357" s="63"/>
      <c r="Y357" s="63"/>
      <c r="Z357" s="500"/>
      <c r="AA357" s="63"/>
      <c r="AB357" s="63"/>
      <c r="AC357" s="63"/>
      <c r="AD357" s="63"/>
      <c r="AE357" s="63"/>
      <c r="AF357" s="63"/>
      <c r="AG357" s="63"/>
      <c r="AH357" s="63"/>
      <c r="AI357" s="501"/>
      <c r="AJ357" s="63"/>
      <c r="AK357" s="25"/>
      <c r="AL357" s="25"/>
      <c r="AM357" s="25"/>
    </row>
    <row r="358" ht="14" spans="1:39">
      <c r="A358" s="25"/>
      <c r="B358" s="63"/>
      <c r="C358" s="25"/>
      <c r="D358" s="25"/>
      <c r="E358" s="25"/>
      <c r="F358" s="25"/>
      <c r="G358" s="25"/>
      <c r="H358" s="25"/>
      <c r="I358" s="25"/>
      <c r="J358" s="25"/>
      <c r="K358" s="25"/>
      <c r="L358" s="25"/>
      <c r="M358" s="495"/>
      <c r="N358" s="63"/>
      <c r="O358" s="63"/>
      <c r="P358" s="496"/>
      <c r="Q358" s="497"/>
      <c r="R358" s="63"/>
      <c r="S358" s="498"/>
      <c r="T358" s="63"/>
      <c r="U358" s="63"/>
      <c r="V358" s="499"/>
      <c r="W358" s="499"/>
      <c r="X358" s="63"/>
      <c r="Y358" s="63"/>
      <c r="Z358" s="500"/>
      <c r="AA358" s="63"/>
      <c r="AB358" s="63"/>
      <c r="AC358" s="63"/>
      <c r="AD358" s="63"/>
      <c r="AE358" s="63"/>
      <c r="AF358" s="63"/>
      <c r="AG358" s="63"/>
      <c r="AH358" s="63"/>
      <c r="AI358" s="501"/>
      <c r="AJ358" s="63"/>
      <c r="AK358" s="25"/>
      <c r="AL358" s="25"/>
      <c r="AM358" s="25"/>
    </row>
    <row r="359" ht="14" spans="1:39">
      <c r="A359" s="25"/>
      <c r="B359" s="63"/>
      <c r="C359" s="25"/>
      <c r="D359" s="25"/>
      <c r="E359" s="25"/>
      <c r="F359" s="25"/>
      <c r="G359" s="25"/>
      <c r="H359" s="25"/>
      <c r="I359" s="25"/>
      <c r="J359" s="25"/>
      <c r="K359" s="25"/>
      <c r="L359" s="25"/>
      <c r="M359" s="495"/>
      <c r="N359" s="63"/>
      <c r="O359" s="63"/>
      <c r="P359" s="496"/>
      <c r="Q359" s="497"/>
      <c r="R359" s="63"/>
      <c r="S359" s="498"/>
      <c r="T359" s="63"/>
      <c r="U359" s="63"/>
      <c r="V359" s="499"/>
      <c r="W359" s="499"/>
      <c r="X359" s="63"/>
      <c r="Y359" s="63"/>
      <c r="Z359" s="500"/>
      <c r="AA359" s="63"/>
      <c r="AB359" s="63"/>
      <c r="AC359" s="63"/>
      <c r="AD359" s="63"/>
      <c r="AE359" s="63"/>
      <c r="AF359" s="63"/>
      <c r="AG359" s="63"/>
      <c r="AH359" s="63"/>
      <c r="AI359" s="501"/>
      <c r="AJ359" s="63"/>
      <c r="AK359" s="25"/>
      <c r="AL359" s="25"/>
      <c r="AM359" s="25"/>
    </row>
    <row r="360" ht="14" spans="1:39">
      <c r="A360" s="25"/>
      <c r="B360" s="63"/>
      <c r="C360" s="25"/>
      <c r="D360" s="25"/>
      <c r="E360" s="25"/>
      <c r="F360" s="25"/>
      <c r="G360" s="25"/>
      <c r="H360" s="25"/>
      <c r="I360" s="25"/>
      <c r="J360" s="25"/>
      <c r="K360" s="25"/>
      <c r="L360" s="25"/>
      <c r="M360" s="495"/>
      <c r="N360" s="63"/>
      <c r="O360" s="63"/>
      <c r="P360" s="496"/>
      <c r="Q360" s="497"/>
      <c r="R360" s="63"/>
      <c r="S360" s="498"/>
      <c r="T360" s="63"/>
      <c r="U360" s="63"/>
      <c r="V360" s="499"/>
      <c r="W360" s="499"/>
      <c r="X360" s="63"/>
      <c r="Y360" s="63"/>
      <c r="Z360" s="500"/>
      <c r="AA360" s="63"/>
      <c r="AB360" s="63"/>
      <c r="AC360" s="63"/>
      <c r="AD360" s="63"/>
      <c r="AE360" s="63"/>
      <c r="AF360" s="63"/>
      <c r="AG360" s="63"/>
      <c r="AH360" s="63"/>
      <c r="AI360" s="501"/>
      <c r="AJ360" s="63"/>
      <c r="AK360" s="25"/>
      <c r="AL360" s="25"/>
      <c r="AM360" s="25"/>
    </row>
    <row r="361" ht="14" spans="1:39">
      <c r="A361" s="25"/>
      <c r="B361" s="63"/>
      <c r="C361" s="25"/>
      <c r="D361" s="25"/>
      <c r="E361" s="25"/>
      <c r="F361" s="25"/>
      <c r="G361" s="25"/>
      <c r="H361" s="25"/>
      <c r="I361" s="25"/>
      <c r="J361" s="25"/>
      <c r="K361" s="25"/>
      <c r="L361" s="25"/>
      <c r="M361" s="495"/>
      <c r="N361" s="63"/>
      <c r="O361" s="63"/>
      <c r="P361" s="496"/>
      <c r="Q361" s="497"/>
      <c r="R361" s="63"/>
      <c r="S361" s="498"/>
      <c r="T361" s="63"/>
      <c r="U361" s="63"/>
      <c r="V361" s="499"/>
      <c r="W361" s="499"/>
      <c r="X361" s="63"/>
      <c r="Y361" s="63"/>
      <c r="Z361" s="500"/>
      <c r="AA361" s="63"/>
      <c r="AB361" s="63"/>
      <c r="AC361" s="63"/>
      <c r="AD361" s="63"/>
      <c r="AE361" s="63"/>
      <c r="AF361" s="63"/>
      <c r="AG361" s="63"/>
      <c r="AH361" s="63"/>
      <c r="AI361" s="501"/>
      <c r="AJ361" s="63"/>
      <c r="AK361" s="25"/>
      <c r="AL361" s="25"/>
      <c r="AM361" s="25"/>
    </row>
    <row r="362" ht="14" spans="1:39">
      <c r="A362" s="25"/>
      <c r="B362" s="63"/>
      <c r="C362" s="25"/>
      <c r="D362" s="25"/>
      <c r="E362" s="25"/>
      <c r="F362" s="25"/>
      <c r="G362" s="25"/>
      <c r="H362" s="25"/>
      <c r="I362" s="25"/>
      <c r="J362" s="25"/>
      <c r="K362" s="25"/>
      <c r="L362" s="25"/>
      <c r="M362" s="495"/>
      <c r="N362" s="63"/>
      <c r="O362" s="63"/>
      <c r="P362" s="496"/>
      <c r="Q362" s="497"/>
      <c r="R362" s="63"/>
      <c r="S362" s="498"/>
      <c r="T362" s="63"/>
      <c r="U362" s="63"/>
      <c r="V362" s="499"/>
      <c r="W362" s="499"/>
      <c r="X362" s="63"/>
      <c r="Y362" s="63"/>
      <c r="Z362" s="500"/>
      <c r="AA362" s="63"/>
      <c r="AB362" s="63"/>
      <c r="AC362" s="63"/>
      <c r="AD362" s="63"/>
      <c r="AE362" s="63"/>
      <c r="AF362" s="63"/>
      <c r="AG362" s="63"/>
      <c r="AH362" s="63"/>
      <c r="AI362" s="501"/>
      <c r="AJ362" s="63"/>
      <c r="AK362" s="25"/>
      <c r="AL362" s="25"/>
      <c r="AM362" s="25"/>
    </row>
    <row r="363" ht="14" spans="1:39">
      <c r="A363" s="25"/>
      <c r="B363" s="63"/>
      <c r="C363" s="25"/>
      <c r="D363" s="25"/>
      <c r="E363" s="25"/>
      <c r="F363" s="25"/>
      <c r="G363" s="25"/>
      <c r="H363" s="25"/>
      <c r="I363" s="25"/>
      <c r="J363" s="25"/>
      <c r="K363" s="25"/>
      <c r="L363" s="25"/>
      <c r="M363" s="495"/>
      <c r="N363" s="63"/>
      <c r="O363" s="63"/>
      <c r="P363" s="496"/>
      <c r="Q363" s="497"/>
      <c r="R363" s="63"/>
      <c r="S363" s="498"/>
      <c r="T363" s="63"/>
      <c r="U363" s="63"/>
      <c r="V363" s="499"/>
      <c r="W363" s="499"/>
      <c r="X363" s="63"/>
      <c r="Y363" s="63"/>
      <c r="Z363" s="500"/>
      <c r="AA363" s="63"/>
      <c r="AB363" s="63"/>
      <c r="AC363" s="63"/>
      <c r="AD363" s="63"/>
      <c r="AE363" s="63"/>
      <c r="AF363" s="63"/>
      <c r="AG363" s="63"/>
      <c r="AH363" s="63"/>
      <c r="AI363" s="501"/>
      <c r="AJ363" s="63"/>
      <c r="AK363" s="25"/>
      <c r="AL363" s="25"/>
      <c r="AM363" s="25"/>
    </row>
    <row r="364" ht="14" spans="1:39">
      <c r="A364" s="25"/>
      <c r="B364" s="63"/>
      <c r="C364" s="25"/>
      <c r="D364" s="25"/>
      <c r="E364" s="25"/>
      <c r="F364" s="25"/>
      <c r="G364" s="25"/>
      <c r="H364" s="25"/>
      <c r="I364" s="25"/>
      <c r="J364" s="25"/>
      <c r="K364" s="25"/>
      <c r="L364" s="25"/>
      <c r="M364" s="495"/>
      <c r="N364" s="63"/>
      <c r="O364" s="63"/>
      <c r="P364" s="496"/>
      <c r="Q364" s="497"/>
      <c r="R364" s="63"/>
      <c r="S364" s="498"/>
      <c r="T364" s="63"/>
      <c r="U364" s="63"/>
      <c r="V364" s="499"/>
      <c r="W364" s="499"/>
      <c r="X364" s="63"/>
      <c r="Y364" s="63"/>
      <c r="Z364" s="500"/>
      <c r="AA364" s="63"/>
      <c r="AB364" s="63"/>
      <c r="AC364" s="63"/>
      <c r="AD364" s="63"/>
      <c r="AE364" s="63"/>
      <c r="AF364" s="63"/>
      <c r="AG364" s="63"/>
      <c r="AH364" s="63"/>
      <c r="AI364" s="501"/>
      <c r="AJ364" s="63"/>
      <c r="AK364" s="25"/>
      <c r="AL364" s="25"/>
      <c r="AM364" s="25"/>
    </row>
    <row r="365" ht="14" spans="1:39">
      <c r="A365" s="25"/>
      <c r="B365" s="63"/>
      <c r="C365" s="25"/>
      <c r="D365" s="25"/>
      <c r="E365" s="25"/>
      <c r="F365" s="25"/>
      <c r="G365" s="25"/>
      <c r="H365" s="25"/>
      <c r="I365" s="25"/>
      <c r="J365" s="25"/>
      <c r="K365" s="25"/>
      <c r="L365" s="25"/>
      <c r="M365" s="495"/>
      <c r="N365" s="63"/>
      <c r="O365" s="63"/>
      <c r="P365" s="496"/>
      <c r="Q365" s="497"/>
      <c r="R365" s="63"/>
      <c r="S365" s="498"/>
      <c r="T365" s="63"/>
      <c r="U365" s="63"/>
      <c r="V365" s="499"/>
      <c r="W365" s="499"/>
      <c r="X365" s="63"/>
      <c r="Y365" s="63"/>
      <c r="Z365" s="500"/>
      <c r="AA365" s="63"/>
      <c r="AB365" s="63"/>
      <c r="AC365" s="63"/>
      <c r="AD365" s="63"/>
      <c r="AE365" s="63"/>
      <c r="AF365" s="63"/>
      <c r="AG365" s="63"/>
      <c r="AH365" s="63"/>
      <c r="AI365" s="501"/>
      <c r="AJ365" s="63"/>
      <c r="AK365" s="25"/>
      <c r="AL365" s="25"/>
      <c r="AM365" s="25"/>
    </row>
    <row r="366" ht="14" spans="1:39">
      <c r="A366" s="25"/>
      <c r="B366" s="63"/>
      <c r="C366" s="25"/>
      <c r="D366" s="25"/>
      <c r="E366" s="25"/>
      <c r="F366" s="25"/>
      <c r="G366" s="25"/>
      <c r="H366" s="25"/>
      <c r="I366" s="25"/>
      <c r="J366" s="25"/>
      <c r="K366" s="25"/>
      <c r="L366" s="25"/>
      <c r="M366" s="495"/>
      <c r="N366" s="63"/>
      <c r="O366" s="63"/>
      <c r="P366" s="496"/>
      <c r="Q366" s="497"/>
      <c r="R366" s="63"/>
      <c r="S366" s="498"/>
      <c r="T366" s="63"/>
      <c r="U366" s="63"/>
      <c r="V366" s="499"/>
      <c r="W366" s="499"/>
      <c r="X366" s="63"/>
      <c r="Y366" s="63"/>
      <c r="Z366" s="500"/>
      <c r="AA366" s="63"/>
      <c r="AB366" s="63"/>
      <c r="AC366" s="63"/>
      <c r="AD366" s="63"/>
      <c r="AE366" s="63"/>
      <c r="AF366" s="63"/>
      <c r="AG366" s="63"/>
      <c r="AH366" s="63"/>
      <c r="AI366" s="501"/>
      <c r="AJ366" s="63"/>
      <c r="AK366" s="25"/>
      <c r="AL366" s="25"/>
      <c r="AM366" s="25"/>
    </row>
    <row r="367" ht="14" spans="1:39">
      <c r="A367" s="25"/>
      <c r="B367" s="63"/>
      <c r="C367" s="25"/>
      <c r="D367" s="25"/>
      <c r="E367" s="25"/>
      <c r="F367" s="25"/>
      <c r="G367" s="25"/>
      <c r="H367" s="25"/>
      <c r="I367" s="25"/>
      <c r="J367" s="25"/>
      <c r="K367" s="25"/>
      <c r="L367" s="25"/>
      <c r="M367" s="495"/>
      <c r="N367" s="63"/>
      <c r="O367" s="63"/>
      <c r="P367" s="496"/>
      <c r="Q367" s="497"/>
      <c r="R367" s="63"/>
      <c r="S367" s="498"/>
      <c r="T367" s="63"/>
      <c r="U367" s="63"/>
      <c r="V367" s="499"/>
      <c r="W367" s="499"/>
      <c r="X367" s="63"/>
      <c r="Y367" s="63"/>
      <c r="Z367" s="500"/>
      <c r="AA367" s="63"/>
      <c r="AB367" s="63"/>
      <c r="AC367" s="63"/>
      <c r="AD367" s="63"/>
      <c r="AE367" s="63"/>
      <c r="AF367" s="63"/>
      <c r="AG367" s="63"/>
      <c r="AH367" s="63"/>
      <c r="AI367" s="501"/>
      <c r="AJ367" s="63"/>
      <c r="AK367" s="25"/>
      <c r="AL367" s="25"/>
      <c r="AM367" s="25"/>
    </row>
    <row r="368" ht="14" spans="1:39">
      <c r="A368" s="25"/>
      <c r="B368" s="63"/>
      <c r="C368" s="25"/>
      <c r="D368" s="25"/>
      <c r="E368" s="25"/>
      <c r="F368" s="25"/>
      <c r="G368" s="25"/>
      <c r="H368" s="25"/>
      <c r="I368" s="25"/>
      <c r="J368" s="25"/>
      <c r="K368" s="25"/>
      <c r="L368" s="25"/>
      <c r="M368" s="495"/>
      <c r="N368" s="63"/>
      <c r="O368" s="63"/>
      <c r="P368" s="496"/>
      <c r="Q368" s="497"/>
      <c r="R368" s="63"/>
      <c r="S368" s="498"/>
      <c r="T368" s="63"/>
      <c r="U368" s="63"/>
      <c r="V368" s="499"/>
      <c r="W368" s="499"/>
      <c r="X368" s="63"/>
      <c r="Y368" s="63"/>
      <c r="Z368" s="500"/>
      <c r="AA368" s="63"/>
      <c r="AB368" s="63"/>
      <c r="AC368" s="63"/>
      <c r="AD368" s="63"/>
      <c r="AE368" s="63"/>
      <c r="AF368" s="63"/>
      <c r="AG368" s="63"/>
      <c r="AH368" s="63"/>
      <c r="AI368" s="501"/>
      <c r="AJ368" s="63"/>
      <c r="AK368" s="25"/>
      <c r="AL368" s="25"/>
      <c r="AM368" s="25"/>
    </row>
    <row r="369" ht="14" spans="1:39">
      <c r="A369" s="25"/>
      <c r="B369" s="63"/>
      <c r="C369" s="25"/>
      <c r="D369" s="25"/>
      <c r="E369" s="25"/>
      <c r="F369" s="25"/>
      <c r="G369" s="25"/>
      <c r="H369" s="25"/>
      <c r="I369" s="25"/>
      <c r="J369" s="25"/>
      <c r="K369" s="25"/>
      <c r="L369" s="25"/>
      <c r="M369" s="495"/>
      <c r="N369" s="63"/>
      <c r="O369" s="63"/>
      <c r="P369" s="496"/>
      <c r="Q369" s="497"/>
      <c r="R369" s="63"/>
      <c r="S369" s="498"/>
      <c r="T369" s="63"/>
      <c r="U369" s="63"/>
      <c r="V369" s="499"/>
      <c r="W369" s="499"/>
      <c r="X369" s="63"/>
      <c r="Y369" s="63"/>
      <c r="Z369" s="500"/>
      <c r="AA369" s="63"/>
      <c r="AB369" s="63"/>
      <c r="AC369" s="63"/>
      <c r="AD369" s="63"/>
      <c r="AE369" s="63"/>
      <c r="AF369" s="63"/>
      <c r="AG369" s="63"/>
      <c r="AH369" s="63"/>
      <c r="AI369" s="501"/>
      <c r="AJ369" s="63"/>
      <c r="AK369" s="25"/>
      <c r="AL369" s="25"/>
      <c r="AM369" s="25"/>
    </row>
    <row r="370" ht="14" spans="1:39">
      <c r="A370" s="25"/>
      <c r="B370" s="63"/>
      <c r="C370" s="25"/>
      <c r="D370" s="25"/>
      <c r="E370" s="25"/>
      <c r="F370" s="25"/>
      <c r="G370" s="25"/>
      <c r="H370" s="25"/>
      <c r="I370" s="25"/>
      <c r="J370" s="25"/>
      <c r="K370" s="25"/>
      <c r="L370" s="25"/>
      <c r="M370" s="495"/>
      <c r="N370" s="63"/>
      <c r="O370" s="63"/>
      <c r="P370" s="496"/>
      <c r="Q370" s="497"/>
      <c r="R370" s="63"/>
      <c r="S370" s="498"/>
      <c r="T370" s="63"/>
      <c r="U370" s="63"/>
      <c r="V370" s="499"/>
      <c r="W370" s="499"/>
      <c r="X370" s="63"/>
      <c r="Y370" s="63"/>
      <c r="Z370" s="500"/>
      <c r="AA370" s="63"/>
      <c r="AB370" s="63"/>
      <c r="AC370" s="63"/>
      <c r="AD370" s="63"/>
      <c r="AE370" s="63"/>
      <c r="AF370" s="63"/>
      <c r="AG370" s="63"/>
      <c r="AH370" s="63"/>
      <c r="AI370" s="501"/>
      <c r="AJ370" s="63"/>
      <c r="AK370" s="25"/>
      <c r="AL370" s="25"/>
      <c r="AM370" s="25"/>
    </row>
    <row r="371" ht="14" spans="1:39">
      <c r="A371" s="25"/>
      <c r="B371" s="63"/>
      <c r="C371" s="25"/>
      <c r="D371" s="25"/>
      <c r="E371" s="25"/>
      <c r="F371" s="25"/>
      <c r="G371" s="25"/>
      <c r="H371" s="25"/>
      <c r="I371" s="25"/>
      <c r="J371" s="25"/>
      <c r="K371" s="25"/>
      <c r="L371" s="25"/>
      <c r="M371" s="495"/>
      <c r="N371" s="63"/>
      <c r="O371" s="63"/>
      <c r="P371" s="496"/>
      <c r="Q371" s="497"/>
      <c r="R371" s="63"/>
      <c r="S371" s="498"/>
      <c r="T371" s="63"/>
      <c r="U371" s="63"/>
      <c r="V371" s="499"/>
      <c r="W371" s="499"/>
      <c r="X371" s="63"/>
      <c r="Y371" s="63"/>
      <c r="Z371" s="500"/>
      <c r="AA371" s="63"/>
      <c r="AB371" s="63"/>
      <c r="AC371" s="63"/>
      <c r="AD371" s="63"/>
      <c r="AE371" s="63"/>
      <c r="AF371" s="63"/>
      <c r="AG371" s="63"/>
      <c r="AH371" s="63"/>
      <c r="AI371" s="501"/>
      <c r="AJ371" s="63"/>
      <c r="AK371" s="25"/>
      <c r="AL371" s="25"/>
      <c r="AM371" s="25"/>
    </row>
    <row r="372" ht="14" spans="1:39">
      <c r="A372" s="25"/>
      <c r="B372" s="63"/>
      <c r="C372" s="25"/>
      <c r="D372" s="25"/>
      <c r="E372" s="25"/>
      <c r="F372" s="25"/>
      <c r="G372" s="25"/>
      <c r="H372" s="25"/>
      <c r="I372" s="25"/>
      <c r="J372" s="25"/>
      <c r="K372" s="25"/>
      <c r="L372" s="25"/>
      <c r="M372" s="495"/>
      <c r="N372" s="63"/>
      <c r="O372" s="63"/>
      <c r="P372" s="496"/>
      <c r="Q372" s="497"/>
      <c r="R372" s="63"/>
      <c r="S372" s="498"/>
      <c r="T372" s="63"/>
      <c r="U372" s="63"/>
      <c r="V372" s="499"/>
      <c r="W372" s="499"/>
      <c r="X372" s="63"/>
      <c r="Y372" s="63"/>
      <c r="Z372" s="500"/>
      <c r="AA372" s="63"/>
      <c r="AB372" s="63"/>
      <c r="AC372" s="63"/>
      <c r="AD372" s="63"/>
      <c r="AE372" s="63"/>
      <c r="AF372" s="63"/>
      <c r="AG372" s="63"/>
      <c r="AH372" s="63"/>
      <c r="AI372" s="501"/>
      <c r="AJ372" s="63"/>
      <c r="AK372" s="25"/>
      <c r="AL372" s="25"/>
      <c r="AM372" s="25"/>
    </row>
    <row r="373" ht="14" spans="1:39">
      <c r="A373" s="25"/>
      <c r="B373" s="63"/>
      <c r="C373" s="25"/>
      <c r="D373" s="25"/>
      <c r="E373" s="25"/>
      <c r="F373" s="25"/>
      <c r="G373" s="25"/>
      <c r="H373" s="25"/>
      <c r="I373" s="25"/>
      <c r="J373" s="25"/>
      <c r="K373" s="25"/>
      <c r="L373" s="25"/>
      <c r="M373" s="495"/>
      <c r="N373" s="63"/>
      <c r="O373" s="63"/>
      <c r="P373" s="496"/>
      <c r="Q373" s="497"/>
      <c r="R373" s="63"/>
      <c r="S373" s="498"/>
      <c r="T373" s="63"/>
      <c r="U373" s="63"/>
      <c r="V373" s="499"/>
      <c r="W373" s="499"/>
      <c r="X373" s="63"/>
      <c r="Y373" s="63"/>
      <c r="Z373" s="500"/>
      <c r="AA373" s="63"/>
      <c r="AB373" s="63"/>
      <c r="AC373" s="63"/>
      <c r="AD373" s="63"/>
      <c r="AE373" s="63"/>
      <c r="AF373" s="63"/>
      <c r="AG373" s="63"/>
      <c r="AH373" s="63"/>
      <c r="AI373" s="501"/>
      <c r="AJ373" s="63"/>
      <c r="AK373" s="25"/>
      <c r="AL373" s="25"/>
      <c r="AM373" s="25"/>
    </row>
    <row r="374" ht="14" spans="1:39">
      <c r="A374" s="25"/>
      <c r="B374" s="63"/>
      <c r="C374" s="25"/>
      <c r="D374" s="25"/>
      <c r="E374" s="25"/>
      <c r="F374" s="25"/>
      <c r="G374" s="25"/>
      <c r="H374" s="25"/>
      <c r="I374" s="25"/>
      <c r="J374" s="25"/>
      <c r="K374" s="25"/>
      <c r="L374" s="25"/>
      <c r="M374" s="495"/>
      <c r="N374" s="63"/>
      <c r="O374" s="63"/>
      <c r="P374" s="496"/>
      <c r="Q374" s="497"/>
      <c r="R374" s="63"/>
      <c r="S374" s="498"/>
      <c r="T374" s="63"/>
      <c r="U374" s="63"/>
      <c r="V374" s="499"/>
      <c r="W374" s="499"/>
      <c r="X374" s="63"/>
      <c r="Y374" s="63"/>
      <c r="Z374" s="500"/>
      <c r="AA374" s="63"/>
      <c r="AB374" s="63"/>
      <c r="AC374" s="63"/>
      <c r="AD374" s="63"/>
      <c r="AE374" s="63"/>
      <c r="AF374" s="63"/>
      <c r="AG374" s="63"/>
      <c r="AH374" s="63"/>
      <c r="AI374" s="501"/>
      <c r="AJ374" s="63"/>
      <c r="AK374" s="25"/>
      <c r="AL374" s="25"/>
      <c r="AM374" s="25"/>
    </row>
    <row r="375" ht="14" spans="1:39">
      <c r="A375" s="25"/>
      <c r="B375" s="63"/>
      <c r="C375" s="25"/>
      <c r="D375" s="25"/>
      <c r="E375" s="25"/>
      <c r="F375" s="25"/>
      <c r="G375" s="25"/>
      <c r="H375" s="25"/>
      <c r="I375" s="25"/>
      <c r="J375" s="25"/>
      <c r="K375" s="25"/>
      <c r="L375" s="25"/>
      <c r="M375" s="495"/>
      <c r="N375" s="63"/>
      <c r="O375" s="63"/>
      <c r="P375" s="496"/>
      <c r="Q375" s="497"/>
      <c r="R375" s="63"/>
      <c r="S375" s="498"/>
      <c r="T375" s="63"/>
      <c r="U375" s="63"/>
      <c r="V375" s="499"/>
      <c r="W375" s="499"/>
      <c r="X375" s="63"/>
      <c r="Y375" s="63"/>
      <c r="Z375" s="500"/>
      <c r="AA375" s="63"/>
      <c r="AB375" s="63"/>
      <c r="AC375" s="63"/>
      <c r="AD375" s="63"/>
      <c r="AE375" s="63"/>
      <c r="AF375" s="63"/>
      <c r="AG375" s="63"/>
      <c r="AH375" s="63"/>
      <c r="AI375" s="501"/>
      <c r="AJ375" s="63"/>
      <c r="AK375" s="25"/>
      <c r="AL375" s="25"/>
      <c r="AM375" s="25"/>
    </row>
    <row r="376" ht="14" spans="1:39">
      <c r="A376" s="25"/>
      <c r="B376" s="63"/>
      <c r="C376" s="25"/>
      <c r="D376" s="25"/>
      <c r="E376" s="25"/>
      <c r="F376" s="25"/>
      <c r="G376" s="25"/>
      <c r="H376" s="25"/>
      <c r="I376" s="25"/>
      <c r="J376" s="25"/>
      <c r="K376" s="25"/>
      <c r="L376" s="25"/>
      <c r="M376" s="495"/>
      <c r="N376" s="63"/>
      <c r="O376" s="63"/>
      <c r="P376" s="496"/>
      <c r="Q376" s="497"/>
      <c r="R376" s="63"/>
      <c r="S376" s="498"/>
      <c r="T376" s="63"/>
      <c r="U376" s="63"/>
      <c r="V376" s="499"/>
      <c r="W376" s="499"/>
      <c r="X376" s="63"/>
      <c r="Y376" s="63"/>
      <c r="Z376" s="500"/>
      <c r="AA376" s="63"/>
      <c r="AB376" s="63"/>
      <c r="AC376" s="63"/>
      <c r="AD376" s="63"/>
      <c r="AE376" s="63"/>
      <c r="AF376" s="63"/>
      <c r="AG376" s="63"/>
      <c r="AH376" s="63"/>
      <c r="AI376" s="501"/>
      <c r="AJ376" s="63"/>
      <c r="AK376" s="25"/>
      <c r="AL376" s="25"/>
      <c r="AM376" s="25"/>
    </row>
    <row r="377" ht="14" spans="1:39">
      <c r="A377" s="25"/>
      <c r="B377" s="63"/>
      <c r="C377" s="25"/>
      <c r="D377" s="25"/>
      <c r="E377" s="25"/>
      <c r="F377" s="25"/>
      <c r="G377" s="25"/>
      <c r="H377" s="25"/>
      <c r="I377" s="25"/>
      <c r="J377" s="25"/>
      <c r="K377" s="25"/>
      <c r="L377" s="25"/>
      <c r="M377" s="495"/>
      <c r="N377" s="63"/>
      <c r="O377" s="63"/>
      <c r="P377" s="496"/>
      <c r="Q377" s="497"/>
      <c r="R377" s="63"/>
      <c r="S377" s="498"/>
      <c r="T377" s="63"/>
      <c r="U377" s="63"/>
      <c r="V377" s="499"/>
      <c r="W377" s="499"/>
      <c r="X377" s="63"/>
      <c r="Y377" s="63"/>
      <c r="Z377" s="500"/>
      <c r="AA377" s="63"/>
      <c r="AB377" s="63"/>
      <c r="AC377" s="63"/>
      <c r="AD377" s="63"/>
      <c r="AE377" s="63"/>
      <c r="AF377" s="63"/>
      <c r="AG377" s="63"/>
      <c r="AH377" s="63"/>
      <c r="AI377" s="501"/>
      <c r="AJ377" s="63"/>
      <c r="AK377" s="25"/>
      <c r="AL377" s="25"/>
      <c r="AM377" s="25"/>
    </row>
    <row r="378" ht="14" spans="1:39">
      <c r="A378" s="25"/>
      <c r="B378" s="63"/>
      <c r="C378" s="25"/>
      <c r="D378" s="25"/>
      <c r="E378" s="25"/>
      <c r="F378" s="25"/>
      <c r="G378" s="25"/>
      <c r="H378" s="25"/>
      <c r="I378" s="25"/>
      <c r="J378" s="25"/>
      <c r="K378" s="25"/>
      <c r="L378" s="25"/>
      <c r="M378" s="495"/>
      <c r="N378" s="63"/>
      <c r="O378" s="63"/>
      <c r="P378" s="496"/>
      <c r="Q378" s="497"/>
      <c r="R378" s="63"/>
      <c r="S378" s="498"/>
      <c r="T378" s="63"/>
      <c r="U378" s="63"/>
      <c r="V378" s="499"/>
      <c r="W378" s="499"/>
      <c r="X378" s="63"/>
      <c r="Y378" s="63"/>
      <c r="Z378" s="500"/>
      <c r="AA378" s="63"/>
      <c r="AB378" s="63"/>
      <c r="AC378" s="63"/>
      <c r="AD378" s="63"/>
      <c r="AE378" s="63"/>
      <c r="AF378" s="63"/>
      <c r="AG378" s="63"/>
      <c r="AH378" s="63"/>
      <c r="AI378" s="501"/>
      <c r="AJ378" s="63"/>
      <c r="AK378" s="25"/>
      <c r="AL378" s="25"/>
      <c r="AM378" s="25"/>
    </row>
    <row r="379" ht="14" spans="1:39">
      <c r="A379" s="25"/>
      <c r="B379" s="63"/>
      <c r="C379" s="25"/>
      <c r="D379" s="25"/>
      <c r="E379" s="25"/>
      <c r="F379" s="25"/>
      <c r="G379" s="25"/>
      <c r="H379" s="25"/>
      <c r="I379" s="25"/>
      <c r="J379" s="25"/>
      <c r="K379" s="25"/>
      <c r="L379" s="25"/>
      <c r="M379" s="495"/>
      <c r="N379" s="63"/>
      <c r="O379" s="63"/>
      <c r="P379" s="496"/>
      <c r="Q379" s="497"/>
      <c r="R379" s="63"/>
      <c r="S379" s="498"/>
      <c r="T379" s="63"/>
      <c r="U379" s="63"/>
      <c r="V379" s="499"/>
      <c r="W379" s="499"/>
      <c r="X379" s="63"/>
      <c r="Y379" s="63"/>
      <c r="Z379" s="500"/>
      <c r="AA379" s="63"/>
      <c r="AB379" s="63"/>
      <c r="AC379" s="63"/>
      <c r="AD379" s="63"/>
      <c r="AE379" s="63"/>
      <c r="AF379" s="63"/>
      <c r="AG379" s="63"/>
      <c r="AH379" s="63"/>
      <c r="AI379" s="501"/>
      <c r="AJ379" s="63"/>
      <c r="AK379" s="25"/>
      <c r="AL379" s="25"/>
      <c r="AM379" s="25"/>
    </row>
    <row r="380" ht="14" spans="1:39">
      <c r="A380" s="25"/>
      <c r="B380" s="63"/>
      <c r="C380" s="25"/>
      <c r="D380" s="25"/>
      <c r="E380" s="25"/>
      <c r="F380" s="25"/>
      <c r="G380" s="25"/>
      <c r="H380" s="25"/>
      <c r="I380" s="25"/>
      <c r="J380" s="25"/>
      <c r="K380" s="25"/>
      <c r="L380" s="25"/>
      <c r="M380" s="495"/>
      <c r="N380" s="63"/>
      <c r="O380" s="63"/>
      <c r="P380" s="496"/>
      <c r="Q380" s="497"/>
      <c r="R380" s="63"/>
      <c r="S380" s="498"/>
      <c r="T380" s="63"/>
      <c r="U380" s="63"/>
      <c r="V380" s="499"/>
      <c r="W380" s="499"/>
      <c r="X380" s="63"/>
      <c r="Y380" s="63"/>
      <c r="Z380" s="500"/>
      <c r="AA380" s="63"/>
      <c r="AB380" s="63"/>
      <c r="AC380" s="63"/>
      <c r="AD380" s="63"/>
      <c r="AE380" s="63"/>
      <c r="AF380" s="63"/>
      <c r="AG380" s="63"/>
      <c r="AH380" s="63"/>
      <c r="AI380" s="501"/>
      <c r="AJ380" s="63"/>
      <c r="AK380" s="25"/>
      <c r="AL380" s="25"/>
      <c r="AM380" s="25"/>
    </row>
    <row r="381" ht="14" spans="1:39">
      <c r="A381" s="25"/>
      <c r="B381" s="63"/>
      <c r="C381" s="25"/>
      <c r="D381" s="25"/>
      <c r="E381" s="25"/>
      <c r="F381" s="25"/>
      <c r="G381" s="25"/>
      <c r="H381" s="25"/>
      <c r="I381" s="25"/>
      <c r="J381" s="25"/>
      <c r="K381" s="25"/>
      <c r="L381" s="25"/>
      <c r="M381" s="495"/>
      <c r="N381" s="63"/>
      <c r="O381" s="63"/>
      <c r="P381" s="496"/>
      <c r="Q381" s="497"/>
      <c r="R381" s="63"/>
      <c r="S381" s="498"/>
      <c r="T381" s="63"/>
      <c r="U381" s="63"/>
      <c r="V381" s="499"/>
      <c r="W381" s="499"/>
      <c r="X381" s="63"/>
      <c r="Y381" s="63"/>
      <c r="Z381" s="500"/>
      <c r="AA381" s="63"/>
      <c r="AB381" s="63"/>
      <c r="AC381" s="63"/>
      <c r="AD381" s="63"/>
      <c r="AE381" s="63"/>
      <c r="AF381" s="63"/>
      <c r="AG381" s="63"/>
      <c r="AH381" s="63"/>
      <c r="AI381" s="501"/>
      <c r="AJ381" s="63"/>
      <c r="AK381" s="25"/>
      <c r="AL381" s="25"/>
      <c r="AM381" s="25"/>
    </row>
    <row r="382" ht="14" spans="1:39">
      <c r="A382" s="25"/>
      <c r="B382" s="63"/>
      <c r="C382" s="25"/>
      <c r="D382" s="25"/>
      <c r="E382" s="25"/>
      <c r="F382" s="25"/>
      <c r="G382" s="25"/>
      <c r="H382" s="25"/>
      <c r="I382" s="25"/>
      <c r="J382" s="25"/>
      <c r="K382" s="25"/>
      <c r="L382" s="25"/>
      <c r="M382" s="495"/>
      <c r="N382" s="63"/>
      <c r="O382" s="63"/>
      <c r="P382" s="496"/>
      <c r="Q382" s="497"/>
      <c r="R382" s="63"/>
      <c r="S382" s="498"/>
      <c r="T382" s="63"/>
      <c r="U382" s="63"/>
      <c r="V382" s="499"/>
      <c r="W382" s="499"/>
      <c r="X382" s="63"/>
      <c r="Y382" s="63"/>
      <c r="Z382" s="500"/>
      <c r="AA382" s="63"/>
      <c r="AB382" s="63"/>
      <c r="AC382" s="63"/>
      <c r="AD382" s="63"/>
      <c r="AE382" s="63"/>
      <c r="AF382" s="63"/>
      <c r="AG382" s="63"/>
      <c r="AH382" s="63"/>
      <c r="AI382" s="501"/>
      <c r="AJ382" s="63"/>
      <c r="AK382" s="25"/>
      <c r="AL382" s="25"/>
      <c r="AM382" s="25"/>
    </row>
    <row r="383" ht="14" spans="1:39">
      <c r="A383" s="25"/>
      <c r="B383" s="63"/>
      <c r="C383" s="25"/>
      <c r="D383" s="25"/>
      <c r="E383" s="25"/>
      <c r="F383" s="25"/>
      <c r="G383" s="25"/>
      <c r="H383" s="25"/>
      <c r="I383" s="25"/>
      <c r="J383" s="25"/>
      <c r="K383" s="25"/>
      <c r="L383" s="25"/>
      <c r="M383" s="495"/>
      <c r="N383" s="63"/>
      <c r="O383" s="63"/>
      <c r="P383" s="496"/>
      <c r="Q383" s="497"/>
      <c r="R383" s="63"/>
      <c r="S383" s="498"/>
      <c r="T383" s="63"/>
      <c r="U383" s="63"/>
      <c r="V383" s="499"/>
      <c r="W383" s="499"/>
      <c r="X383" s="63"/>
      <c r="Y383" s="63"/>
      <c r="Z383" s="500"/>
      <c r="AA383" s="63"/>
      <c r="AB383" s="63"/>
      <c r="AC383" s="63"/>
      <c r="AD383" s="63"/>
      <c r="AE383" s="63"/>
      <c r="AF383" s="63"/>
      <c r="AG383" s="63"/>
      <c r="AH383" s="63"/>
      <c r="AI383" s="501"/>
      <c r="AJ383" s="63"/>
      <c r="AK383" s="25"/>
      <c r="AL383" s="25"/>
      <c r="AM383" s="25"/>
    </row>
    <row r="384" ht="14" spans="1:39">
      <c r="A384" s="25"/>
      <c r="B384" s="63"/>
      <c r="C384" s="25"/>
      <c r="D384" s="25"/>
      <c r="E384" s="25"/>
      <c r="F384" s="25"/>
      <c r="G384" s="25"/>
      <c r="H384" s="25"/>
      <c r="I384" s="25"/>
      <c r="J384" s="25"/>
      <c r="K384" s="25"/>
      <c r="L384" s="25"/>
      <c r="M384" s="495"/>
      <c r="N384" s="63"/>
      <c r="O384" s="63"/>
      <c r="P384" s="496"/>
      <c r="Q384" s="497"/>
      <c r="R384" s="63"/>
      <c r="S384" s="498"/>
      <c r="T384" s="63"/>
      <c r="U384" s="63"/>
      <c r="V384" s="499"/>
      <c r="W384" s="499"/>
      <c r="X384" s="63"/>
      <c r="Y384" s="63"/>
      <c r="Z384" s="500"/>
      <c r="AA384" s="63"/>
      <c r="AB384" s="63"/>
      <c r="AC384" s="63"/>
      <c r="AD384" s="63"/>
      <c r="AE384" s="63"/>
      <c r="AF384" s="63"/>
      <c r="AG384" s="63"/>
      <c r="AH384" s="63"/>
      <c r="AI384" s="501"/>
      <c r="AJ384" s="63"/>
      <c r="AK384" s="25"/>
      <c r="AL384" s="25"/>
      <c r="AM384" s="25"/>
    </row>
    <row r="385" ht="14" spans="1:39">
      <c r="A385" s="25"/>
      <c r="B385" s="63"/>
      <c r="C385" s="25"/>
      <c r="D385" s="25"/>
      <c r="E385" s="25"/>
      <c r="F385" s="25"/>
      <c r="G385" s="25"/>
      <c r="H385" s="25"/>
      <c r="I385" s="25"/>
      <c r="J385" s="25"/>
      <c r="K385" s="25"/>
      <c r="L385" s="25"/>
      <c r="M385" s="495"/>
      <c r="N385" s="63"/>
      <c r="O385" s="63"/>
      <c r="P385" s="496"/>
      <c r="Q385" s="497"/>
      <c r="R385" s="63"/>
      <c r="S385" s="498"/>
      <c r="T385" s="63"/>
      <c r="U385" s="63"/>
      <c r="V385" s="499"/>
      <c r="W385" s="499"/>
      <c r="X385" s="63"/>
      <c r="Y385" s="63"/>
      <c r="Z385" s="500"/>
      <c r="AA385" s="63"/>
      <c r="AB385" s="63"/>
      <c r="AC385" s="63"/>
      <c r="AD385" s="63"/>
      <c r="AE385" s="63"/>
      <c r="AF385" s="63"/>
      <c r="AG385" s="63"/>
      <c r="AH385" s="63"/>
      <c r="AI385" s="501"/>
      <c r="AJ385" s="63"/>
      <c r="AK385" s="25"/>
      <c r="AL385" s="25"/>
      <c r="AM385" s="25"/>
    </row>
    <row r="386" ht="14" spans="1:39">
      <c r="A386" s="25"/>
      <c r="B386" s="63"/>
      <c r="C386" s="25"/>
      <c r="D386" s="25"/>
      <c r="E386" s="25"/>
      <c r="F386" s="25"/>
      <c r="G386" s="25"/>
      <c r="H386" s="25"/>
      <c r="I386" s="25"/>
      <c r="J386" s="25"/>
      <c r="K386" s="25"/>
      <c r="L386" s="25"/>
      <c r="M386" s="495"/>
      <c r="N386" s="63"/>
      <c r="O386" s="63"/>
      <c r="P386" s="496"/>
      <c r="Q386" s="497"/>
      <c r="R386" s="63"/>
      <c r="S386" s="498"/>
      <c r="T386" s="63"/>
      <c r="U386" s="63"/>
      <c r="V386" s="499"/>
      <c r="W386" s="499"/>
      <c r="X386" s="63"/>
      <c r="Y386" s="63"/>
      <c r="Z386" s="500"/>
      <c r="AA386" s="63"/>
      <c r="AB386" s="63"/>
      <c r="AC386" s="63"/>
      <c r="AD386" s="63"/>
      <c r="AE386" s="63"/>
      <c r="AF386" s="63"/>
      <c r="AG386" s="63"/>
      <c r="AH386" s="63"/>
      <c r="AI386" s="501"/>
      <c r="AJ386" s="63"/>
      <c r="AK386" s="25"/>
      <c r="AL386" s="25"/>
      <c r="AM386" s="25"/>
    </row>
    <row r="387" ht="14" spans="1:39">
      <c r="A387" s="25"/>
      <c r="B387" s="63"/>
      <c r="C387" s="25"/>
      <c r="D387" s="25"/>
      <c r="E387" s="25"/>
      <c r="F387" s="25"/>
      <c r="G387" s="25"/>
      <c r="H387" s="25"/>
      <c r="I387" s="25"/>
      <c r="J387" s="25"/>
      <c r="K387" s="25"/>
      <c r="L387" s="25"/>
      <c r="M387" s="495"/>
      <c r="N387" s="63"/>
      <c r="O387" s="63"/>
      <c r="P387" s="496"/>
      <c r="Q387" s="497"/>
      <c r="R387" s="63"/>
      <c r="S387" s="498"/>
      <c r="T387" s="63"/>
      <c r="U387" s="63"/>
      <c r="V387" s="499"/>
      <c r="W387" s="499"/>
      <c r="X387" s="63"/>
      <c r="Y387" s="63"/>
      <c r="Z387" s="500"/>
      <c r="AA387" s="63"/>
      <c r="AB387" s="63"/>
      <c r="AC387" s="63"/>
      <c r="AD387" s="63"/>
      <c r="AE387" s="63"/>
      <c r="AF387" s="63"/>
      <c r="AG387" s="63"/>
      <c r="AH387" s="63"/>
      <c r="AI387" s="501"/>
      <c r="AJ387" s="63"/>
      <c r="AK387" s="25"/>
      <c r="AL387" s="25"/>
      <c r="AM387" s="25"/>
    </row>
    <row r="388" ht="14" spans="1:39">
      <c r="A388" s="25"/>
      <c r="B388" s="63"/>
      <c r="C388" s="25"/>
      <c r="D388" s="25"/>
      <c r="E388" s="25"/>
      <c r="F388" s="25"/>
      <c r="G388" s="25"/>
      <c r="H388" s="25"/>
      <c r="I388" s="25"/>
      <c r="J388" s="25"/>
      <c r="K388" s="25"/>
      <c r="L388" s="25"/>
      <c r="M388" s="495"/>
      <c r="N388" s="63"/>
      <c r="O388" s="63"/>
      <c r="P388" s="496"/>
      <c r="Q388" s="497"/>
      <c r="R388" s="63"/>
      <c r="S388" s="498"/>
      <c r="T388" s="63"/>
      <c r="U388" s="63"/>
      <c r="V388" s="499"/>
      <c r="W388" s="499"/>
      <c r="X388" s="63"/>
      <c r="Y388" s="63"/>
      <c r="Z388" s="500"/>
      <c r="AA388" s="63"/>
      <c r="AB388" s="63"/>
      <c r="AC388" s="63"/>
      <c r="AD388" s="63"/>
      <c r="AE388" s="63"/>
      <c r="AF388" s="63"/>
      <c r="AG388" s="63"/>
      <c r="AH388" s="63"/>
      <c r="AI388" s="501"/>
      <c r="AJ388" s="63"/>
      <c r="AK388" s="25"/>
      <c r="AL388" s="25"/>
      <c r="AM388" s="25"/>
    </row>
    <row r="389" ht="14" spans="1:39">
      <c r="A389" s="25"/>
      <c r="B389" s="63"/>
      <c r="C389" s="25"/>
      <c r="D389" s="25"/>
      <c r="E389" s="25"/>
      <c r="F389" s="25"/>
      <c r="G389" s="25"/>
      <c r="H389" s="25"/>
      <c r="I389" s="25"/>
      <c r="J389" s="25"/>
      <c r="K389" s="25"/>
      <c r="L389" s="25"/>
      <c r="M389" s="495"/>
      <c r="N389" s="63"/>
      <c r="O389" s="63"/>
      <c r="P389" s="496"/>
      <c r="Q389" s="497"/>
      <c r="R389" s="63"/>
      <c r="S389" s="498"/>
      <c r="T389" s="63"/>
      <c r="U389" s="63"/>
      <c r="V389" s="499"/>
      <c r="W389" s="499"/>
      <c r="X389" s="63"/>
      <c r="Y389" s="63"/>
      <c r="Z389" s="500"/>
      <c r="AA389" s="63"/>
      <c r="AB389" s="63"/>
      <c r="AC389" s="63"/>
      <c r="AD389" s="63"/>
      <c r="AE389" s="63"/>
      <c r="AF389" s="63"/>
      <c r="AG389" s="63"/>
      <c r="AH389" s="63"/>
      <c r="AI389" s="501"/>
      <c r="AJ389" s="63"/>
      <c r="AK389" s="25"/>
      <c r="AL389" s="25"/>
      <c r="AM389" s="25"/>
    </row>
    <row r="390" ht="14" spans="1:39">
      <c r="A390" s="25"/>
      <c r="B390" s="63"/>
      <c r="C390" s="25"/>
      <c r="D390" s="25"/>
      <c r="E390" s="25"/>
      <c r="F390" s="25"/>
      <c r="G390" s="25"/>
      <c r="H390" s="25"/>
      <c r="I390" s="25"/>
      <c r="J390" s="25"/>
      <c r="K390" s="25"/>
      <c r="L390" s="25"/>
      <c r="M390" s="495"/>
      <c r="N390" s="63"/>
      <c r="O390" s="63"/>
      <c r="P390" s="496"/>
      <c r="Q390" s="497"/>
      <c r="R390" s="63"/>
      <c r="S390" s="498"/>
      <c r="T390" s="63"/>
      <c r="U390" s="63"/>
      <c r="V390" s="499"/>
      <c r="W390" s="499"/>
      <c r="X390" s="63"/>
      <c r="Y390" s="63"/>
      <c r="Z390" s="500"/>
      <c r="AA390" s="63"/>
      <c r="AB390" s="63"/>
      <c r="AC390" s="63"/>
      <c r="AD390" s="63"/>
      <c r="AE390" s="63"/>
      <c r="AF390" s="63"/>
      <c r="AG390" s="63"/>
      <c r="AH390" s="63"/>
      <c r="AI390" s="501"/>
      <c r="AJ390" s="63"/>
      <c r="AK390" s="25"/>
      <c r="AL390" s="25"/>
      <c r="AM390" s="25"/>
    </row>
    <row r="391" ht="14" spans="1:39">
      <c r="A391" s="25"/>
      <c r="B391" s="63"/>
      <c r="C391" s="25"/>
      <c r="D391" s="25"/>
      <c r="E391" s="25"/>
      <c r="F391" s="25"/>
      <c r="G391" s="25"/>
      <c r="H391" s="25"/>
      <c r="I391" s="25"/>
      <c r="J391" s="25"/>
      <c r="K391" s="25"/>
      <c r="L391" s="25"/>
      <c r="M391" s="495"/>
      <c r="N391" s="63"/>
      <c r="O391" s="63"/>
      <c r="P391" s="496"/>
      <c r="Q391" s="497"/>
      <c r="R391" s="63"/>
      <c r="S391" s="498"/>
      <c r="T391" s="63"/>
      <c r="U391" s="63"/>
      <c r="V391" s="499"/>
      <c r="W391" s="499"/>
      <c r="X391" s="63"/>
      <c r="Y391" s="63"/>
      <c r="Z391" s="500"/>
      <c r="AA391" s="63"/>
      <c r="AB391" s="63"/>
      <c r="AC391" s="63"/>
      <c r="AD391" s="63"/>
      <c r="AE391" s="63"/>
      <c r="AF391" s="63"/>
      <c r="AG391" s="63"/>
      <c r="AH391" s="63"/>
      <c r="AI391" s="501"/>
      <c r="AJ391" s="63"/>
      <c r="AK391" s="25"/>
      <c r="AL391" s="25"/>
      <c r="AM391" s="25"/>
    </row>
    <row r="392" ht="14" spans="1:39">
      <c r="A392" s="25"/>
      <c r="B392" s="63"/>
      <c r="C392" s="25"/>
      <c r="D392" s="25"/>
      <c r="E392" s="25"/>
      <c r="F392" s="25"/>
      <c r="G392" s="25"/>
      <c r="H392" s="25"/>
      <c r="I392" s="25"/>
      <c r="J392" s="25"/>
      <c r="K392" s="25"/>
      <c r="L392" s="25"/>
      <c r="M392" s="495"/>
      <c r="N392" s="63"/>
      <c r="O392" s="63"/>
      <c r="P392" s="496"/>
      <c r="Q392" s="497"/>
      <c r="R392" s="63"/>
      <c r="S392" s="498"/>
      <c r="T392" s="63"/>
      <c r="U392" s="63"/>
      <c r="V392" s="499"/>
      <c r="W392" s="499"/>
      <c r="X392" s="63"/>
      <c r="Y392" s="63"/>
      <c r="Z392" s="500"/>
      <c r="AA392" s="63"/>
      <c r="AB392" s="63"/>
      <c r="AC392" s="63"/>
      <c r="AD392" s="63"/>
      <c r="AE392" s="63"/>
      <c r="AF392" s="63"/>
      <c r="AG392" s="63"/>
      <c r="AH392" s="63"/>
      <c r="AI392" s="501"/>
      <c r="AJ392" s="63"/>
      <c r="AK392" s="25"/>
      <c r="AL392" s="25"/>
      <c r="AM392" s="25"/>
    </row>
    <row r="393" ht="14" spans="1:39">
      <c r="A393" s="25"/>
      <c r="B393" s="63"/>
      <c r="C393" s="25"/>
      <c r="D393" s="25"/>
      <c r="E393" s="25"/>
      <c r="F393" s="25"/>
      <c r="G393" s="25"/>
      <c r="H393" s="25"/>
      <c r="I393" s="25"/>
      <c r="J393" s="25"/>
      <c r="K393" s="25"/>
      <c r="L393" s="25"/>
      <c r="M393" s="495"/>
      <c r="N393" s="63"/>
      <c r="O393" s="63"/>
      <c r="P393" s="496"/>
      <c r="Q393" s="497"/>
      <c r="R393" s="63"/>
      <c r="S393" s="498"/>
      <c r="T393" s="63"/>
      <c r="U393" s="63"/>
      <c r="V393" s="499"/>
      <c r="W393" s="499"/>
      <c r="X393" s="63"/>
      <c r="Y393" s="63"/>
      <c r="Z393" s="500"/>
      <c r="AA393" s="63"/>
      <c r="AB393" s="63"/>
      <c r="AC393" s="63"/>
      <c r="AD393" s="63"/>
      <c r="AE393" s="63"/>
      <c r="AF393" s="63"/>
      <c r="AG393" s="63"/>
      <c r="AH393" s="63"/>
      <c r="AI393" s="501"/>
      <c r="AJ393" s="63"/>
      <c r="AK393" s="25"/>
      <c r="AL393" s="25"/>
      <c r="AM393" s="25"/>
    </row>
    <row r="394" ht="14" spans="1:39">
      <c r="A394" s="25"/>
      <c r="B394" s="63"/>
      <c r="C394" s="25"/>
      <c r="D394" s="25"/>
      <c r="E394" s="25"/>
      <c r="F394" s="25"/>
      <c r="G394" s="25"/>
      <c r="H394" s="25"/>
      <c r="I394" s="25"/>
      <c r="J394" s="25"/>
      <c r="K394" s="25"/>
      <c r="L394" s="25"/>
      <c r="M394" s="495"/>
      <c r="N394" s="63"/>
      <c r="O394" s="63"/>
      <c r="P394" s="496"/>
      <c r="Q394" s="497"/>
      <c r="R394" s="63"/>
      <c r="S394" s="498"/>
      <c r="T394" s="63"/>
      <c r="U394" s="63"/>
      <c r="V394" s="499"/>
      <c r="W394" s="499"/>
      <c r="X394" s="63"/>
      <c r="Y394" s="63"/>
      <c r="Z394" s="500"/>
      <c r="AA394" s="63"/>
      <c r="AB394" s="63"/>
      <c r="AC394" s="63"/>
      <c r="AD394" s="63"/>
      <c r="AE394" s="63"/>
      <c r="AF394" s="63"/>
      <c r="AG394" s="63"/>
      <c r="AH394" s="63"/>
      <c r="AI394" s="501"/>
      <c r="AJ394" s="63"/>
      <c r="AK394" s="25"/>
      <c r="AL394" s="25"/>
      <c r="AM394" s="25"/>
    </row>
    <row r="395" ht="14" spans="1:39">
      <c r="A395" s="25"/>
      <c r="B395" s="63"/>
      <c r="C395" s="25"/>
      <c r="D395" s="25"/>
      <c r="E395" s="25"/>
      <c r="F395" s="25"/>
      <c r="G395" s="25"/>
      <c r="H395" s="25"/>
      <c r="I395" s="25"/>
      <c r="J395" s="25"/>
      <c r="K395" s="25"/>
      <c r="L395" s="25"/>
      <c r="M395" s="495"/>
      <c r="N395" s="63"/>
      <c r="O395" s="63"/>
      <c r="P395" s="496"/>
      <c r="Q395" s="497"/>
      <c r="R395" s="63"/>
      <c r="S395" s="498"/>
      <c r="T395" s="63"/>
      <c r="U395" s="63"/>
      <c r="V395" s="499"/>
      <c r="W395" s="499"/>
      <c r="X395" s="63"/>
      <c r="Y395" s="63"/>
      <c r="Z395" s="500"/>
      <c r="AA395" s="63"/>
      <c r="AB395" s="63"/>
      <c r="AC395" s="63"/>
      <c r="AD395" s="63"/>
      <c r="AE395" s="63"/>
      <c r="AF395" s="63"/>
      <c r="AG395" s="63"/>
      <c r="AH395" s="63"/>
      <c r="AI395" s="501"/>
      <c r="AJ395" s="63"/>
      <c r="AK395" s="25"/>
      <c r="AL395" s="25"/>
      <c r="AM395" s="25"/>
    </row>
    <row r="396" ht="14" spans="1:39">
      <c r="A396" s="25"/>
      <c r="B396" s="63"/>
      <c r="C396" s="25"/>
      <c r="D396" s="25"/>
      <c r="E396" s="25"/>
      <c r="F396" s="25"/>
      <c r="G396" s="25"/>
      <c r="H396" s="25"/>
      <c r="I396" s="25"/>
      <c r="J396" s="25"/>
      <c r="K396" s="25"/>
      <c r="L396" s="25"/>
      <c r="M396" s="495"/>
      <c r="N396" s="63"/>
      <c r="O396" s="63"/>
      <c r="P396" s="496"/>
      <c r="Q396" s="497"/>
      <c r="R396" s="63"/>
      <c r="S396" s="498"/>
      <c r="T396" s="63"/>
      <c r="U396" s="63"/>
      <c r="V396" s="499"/>
      <c r="W396" s="499"/>
      <c r="X396" s="63"/>
      <c r="Y396" s="63"/>
      <c r="Z396" s="500"/>
      <c r="AA396" s="63"/>
      <c r="AB396" s="63"/>
      <c r="AC396" s="63"/>
      <c r="AD396" s="63"/>
      <c r="AE396" s="63"/>
      <c r="AF396" s="63"/>
      <c r="AG396" s="63"/>
      <c r="AH396" s="63"/>
      <c r="AI396" s="501"/>
      <c r="AJ396" s="63"/>
      <c r="AK396" s="25"/>
      <c r="AL396" s="25"/>
      <c r="AM396" s="25"/>
    </row>
    <row r="397" ht="14" spans="1:39">
      <c r="A397" s="25"/>
      <c r="B397" s="63"/>
      <c r="C397" s="25"/>
      <c r="D397" s="25"/>
      <c r="E397" s="25"/>
      <c r="F397" s="25"/>
      <c r="G397" s="25"/>
      <c r="H397" s="25"/>
      <c r="I397" s="25"/>
      <c r="J397" s="25"/>
      <c r="K397" s="25"/>
      <c r="L397" s="25"/>
      <c r="M397" s="495"/>
      <c r="N397" s="63"/>
      <c r="O397" s="63"/>
      <c r="P397" s="496"/>
      <c r="Q397" s="497"/>
      <c r="R397" s="63"/>
      <c r="S397" s="498"/>
      <c r="T397" s="63"/>
      <c r="U397" s="63"/>
      <c r="V397" s="499"/>
      <c r="W397" s="499"/>
      <c r="X397" s="63"/>
      <c r="Y397" s="63"/>
      <c r="Z397" s="500"/>
      <c r="AA397" s="63"/>
      <c r="AB397" s="63"/>
      <c r="AC397" s="63"/>
      <c r="AD397" s="63"/>
      <c r="AE397" s="63"/>
      <c r="AF397" s="63"/>
      <c r="AG397" s="63"/>
      <c r="AH397" s="63"/>
      <c r="AI397" s="501"/>
      <c r="AJ397" s="63"/>
      <c r="AK397" s="25"/>
      <c r="AL397" s="25"/>
      <c r="AM397" s="25"/>
    </row>
    <row r="398" ht="14" spans="1:39">
      <c r="A398" s="25"/>
      <c r="B398" s="63"/>
      <c r="C398" s="25"/>
      <c r="D398" s="25"/>
      <c r="E398" s="25"/>
      <c r="F398" s="25"/>
      <c r="G398" s="25"/>
      <c r="H398" s="25"/>
      <c r="I398" s="25"/>
      <c r="J398" s="25"/>
      <c r="K398" s="25"/>
      <c r="L398" s="25"/>
      <c r="M398" s="495"/>
      <c r="N398" s="63"/>
      <c r="O398" s="63"/>
      <c r="P398" s="496"/>
      <c r="Q398" s="497"/>
      <c r="R398" s="63"/>
      <c r="S398" s="498"/>
      <c r="T398" s="63"/>
      <c r="U398" s="63"/>
      <c r="V398" s="499"/>
      <c r="W398" s="499"/>
      <c r="X398" s="63"/>
      <c r="Y398" s="63"/>
      <c r="Z398" s="500"/>
      <c r="AA398" s="63"/>
      <c r="AB398" s="63"/>
      <c r="AC398" s="63"/>
      <c r="AD398" s="63"/>
      <c r="AE398" s="63"/>
      <c r="AF398" s="63"/>
      <c r="AG398" s="63"/>
      <c r="AH398" s="63"/>
      <c r="AI398" s="501"/>
      <c r="AJ398" s="63"/>
      <c r="AK398" s="25"/>
      <c r="AL398" s="25"/>
      <c r="AM398" s="25"/>
    </row>
    <row r="399" ht="14" spans="1:39">
      <c r="A399" s="25"/>
      <c r="B399" s="63"/>
      <c r="C399" s="25"/>
      <c r="D399" s="25"/>
      <c r="E399" s="25"/>
      <c r="F399" s="25"/>
      <c r="G399" s="25"/>
      <c r="H399" s="25"/>
      <c r="I399" s="25"/>
      <c r="J399" s="25"/>
      <c r="K399" s="25"/>
      <c r="L399" s="25"/>
      <c r="M399" s="495"/>
      <c r="N399" s="63"/>
      <c r="O399" s="63"/>
      <c r="P399" s="496"/>
      <c r="Q399" s="497"/>
      <c r="R399" s="63"/>
      <c r="S399" s="498"/>
      <c r="T399" s="63"/>
      <c r="U399" s="63"/>
      <c r="V399" s="499"/>
      <c r="W399" s="499"/>
      <c r="X399" s="63"/>
      <c r="Y399" s="63"/>
      <c r="Z399" s="500"/>
      <c r="AA399" s="63"/>
      <c r="AB399" s="63"/>
      <c r="AC399" s="63"/>
      <c r="AD399" s="63"/>
      <c r="AE399" s="63"/>
      <c r="AF399" s="63"/>
      <c r="AG399" s="63"/>
      <c r="AH399" s="63"/>
      <c r="AI399" s="501"/>
      <c r="AJ399" s="63"/>
      <c r="AK399" s="25"/>
      <c r="AL399" s="25"/>
      <c r="AM399" s="25"/>
    </row>
    <row r="400" ht="14" spans="1:39">
      <c r="A400" s="25"/>
      <c r="B400" s="63"/>
      <c r="C400" s="25"/>
      <c r="D400" s="25"/>
      <c r="E400" s="25"/>
      <c r="F400" s="25"/>
      <c r="G400" s="25"/>
      <c r="H400" s="25"/>
      <c r="I400" s="25"/>
      <c r="J400" s="25"/>
      <c r="K400" s="25"/>
      <c r="L400" s="25"/>
      <c r="M400" s="495"/>
      <c r="N400" s="63"/>
      <c r="O400" s="63"/>
      <c r="P400" s="496"/>
      <c r="Q400" s="497"/>
      <c r="R400" s="63"/>
      <c r="S400" s="498"/>
      <c r="T400" s="63"/>
      <c r="U400" s="63"/>
      <c r="V400" s="499"/>
      <c r="W400" s="499"/>
      <c r="X400" s="63"/>
      <c r="Y400" s="63"/>
      <c r="Z400" s="500"/>
      <c r="AA400" s="63"/>
      <c r="AB400" s="63"/>
      <c r="AC400" s="63"/>
      <c r="AD400" s="63"/>
      <c r="AE400" s="63"/>
      <c r="AF400" s="63"/>
      <c r="AG400" s="63"/>
      <c r="AH400" s="63"/>
      <c r="AI400" s="501"/>
      <c r="AJ400" s="63"/>
      <c r="AK400" s="25"/>
      <c r="AL400" s="25"/>
      <c r="AM400" s="25"/>
    </row>
    <row r="401" ht="14" spans="1:39">
      <c r="A401" s="25"/>
      <c r="B401" s="63"/>
      <c r="C401" s="25"/>
      <c r="D401" s="25"/>
      <c r="E401" s="25"/>
      <c r="F401" s="25"/>
      <c r="G401" s="25"/>
      <c r="H401" s="25"/>
      <c r="I401" s="25"/>
      <c r="J401" s="25"/>
      <c r="K401" s="25"/>
      <c r="L401" s="25"/>
      <c r="M401" s="495"/>
      <c r="N401" s="63"/>
      <c r="O401" s="63"/>
      <c r="P401" s="496"/>
      <c r="Q401" s="497"/>
      <c r="R401" s="63"/>
      <c r="S401" s="498"/>
      <c r="T401" s="63"/>
      <c r="U401" s="63"/>
      <c r="V401" s="499"/>
      <c r="W401" s="499"/>
      <c r="X401" s="63"/>
      <c r="Y401" s="63"/>
      <c r="Z401" s="500"/>
      <c r="AA401" s="63"/>
      <c r="AB401" s="63"/>
      <c r="AC401" s="63"/>
      <c r="AD401" s="63"/>
      <c r="AE401" s="63"/>
      <c r="AF401" s="63"/>
      <c r="AG401" s="63"/>
      <c r="AH401" s="63"/>
      <c r="AI401" s="501"/>
      <c r="AJ401" s="63"/>
      <c r="AK401" s="25"/>
      <c r="AL401" s="25"/>
      <c r="AM401" s="25"/>
    </row>
    <row r="402" ht="14" spans="1:39">
      <c r="A402" s="25"/>
      <c r="B402" s="63"/>
      <c r="C402" s="25"/>
      <c r="D402" s="25"/>
      <c r="E402" s="25"/>
      <c r="F402" s="25"/>
      <c r="G402" s="25"/>
      <c r="H402" s="25"/>
      <c r="I402" s="25"/>
      <c r="J402" s="25"/>
      <c r="K402" s="25"/>
      <c r="L402" s="25"/>
      <c r="M402" s="495"/>
      <c r="N402" s="63"/>
      <c r="O402" s="63"/>
      <c r="P402" s="496"/>
      <c r="Q402" s="497"/>
      <c r="R402" s="63"/>
      <c r="S402" s="498"/>
      <c r="T402" s="63"/>
      <c r="U402" s="63"/>
      <c r="V402" s="499"/>
      <c r="W402" s="499"/>
      <c r="X402" s="63"/>
      <c r="Y402" s="63"/>
      <c r="Z402" s="500"/>
      <c r="AA402" s="63"/>
      <c r="AB402" s="63"/>
      <c r="AC402" s="63"/>
      <c r="AD402" s="63"/>
      <c r="AE402" s="63"/>
      <c r="AF402" s="63"/>
      <c r="AG402" s="63"/>
      <c r="AH402" s="63"/>
      <c r="AI402" s="501"/>
      <c r="AJ402" s="63"/>
      <c r="AK402" s="25"/>
      <c r="AL402" s="25"/>
      <c r="AM402" s="25"/>
    </row>
    <row r="403" ht="14" spans="1:39">
      <c r="A403" s="25"/>
      <c r="B403" s="63"/>
      <c r="C403" s="25"/>
      <c r="D403" s="25"/>
      <c r="E403" s="25"/>
      <c r="F403" s="25"/>
      <c r="G403" s="25"/>
      <c r="H403" s="25"/>
      <c r="I403" s="25"/>
      <c r="J403" s="25"/>
      <c r="K403" s="25"/>
      <c r="L403" s="25"/>
      <c r="M403" s="495"/>
      <c r="N403" s="63"/>
      <c r="O403" s="63"/>
      <c r="P403" s="496"/>
      <c r="Q403" s="497"/>
      <c r="R403" s="63"/>
      <c r="S403" s="498"/>
      <c r="T403" s="63"/>
      <c r="U403" s="63"/>
      <c r="V403" s="499"/>
      <c r="W403" s="499"/>
      <c r="X403" s="63"/>
      <c r="Y403" s="63"/>
      <c r="Z403" s="500"/>
      <c r="AA403" s="63"/>
      <c r="AB403" s="63"/>
      <c r="AC403" s="63"/>
      <c r="AD403" s="63"/>
      <c r="AE403" s="63"/>
      <c r="AF403" s="63"/>
      <c r="AG403" s="63"/>
      <c r="AH403" s="63"/>
      <c r="AI403" s="501"/>
      <c r="AJ403" s="63"/>
      <c r="AK403" s="25"/>
      <c r="AL403" s="25"/>
      <c r="AM403" s="25"/>
    </row>
    <row r="404" ht="14" spans="1:39">
      <c r="A404" s="25"/>
      <c r="B404" s="63"/>
      <c r="C404" s="25"/>
      <c r="D404" s="25"/>
      <c r="E404" s="25"/>
      <c r="F404" s="25"/>
      <c r="G404" s="25"/>
      <c r="H404" s="25"/>
      <c r="I404" s="25"/>
      <c r="J404" s="25"/>
      <c r="K404" s="25"/>
      <c r="L404" s="25"/>
      <c r="M404" s="495"/>
      <c r="N404" s="63"/>
      <c r="O404" s="63"/>
      <c r="P404" s="496"/>
      <c r="Q404" s="497"/>
      <c r="R404" s="63"/>
      <c r="S404" s="498"/>
      <c r="T404" s="63"/>
      <c r="U404" s="63"/>
      <c r="V404" s="499"/>
      <c r="W404" s="499"/>
      <c r="X404" s="63"/>
      <c r="Y404" s="63"/>
      <c r="Z404" s="500"/>
      <c r="AA404" s="63"/>
      <c r="AB404" s="63"/>
      <c r="AC404" s="63"/>
      <c r="AD404" s="63"/>
      <c r="AE404" s="63"/>
      <c r="AF404" s="63"/>
      <c r="AG404" s="63"/>
      <c r="AH404" s="63"/>
      <c r="AI404" s="501"/>
      <c r="AJ404" s="63"/>
      <c r="AK404" s="25"/>
      <c r="AL404" s="25"/>
      <c r="AM404" s="25"/>
    </row>
    <row r="405" ht="14" spans="1:39">
      <c r="A405" s="25"/>
      <c r="B405" s="63"/>
      <c r="C405" s="25"/>
      <c r="D405" s="25"/>
      <c r="E405" s="25"/>
      <c r="F405" s="25"/>
      <c r="G405" s="25"/>
      <c r="H405" s="25"/>
      <c r="I405" s="25"/>
      <c r="J405" s="25"/>
      <c r="K405" s="25"/>
      <c r="L405" s="25"/>
      <c r="M405" s="495"/>
      <c r="N405" s="63"/>
      <c r="O405" s="63"/>
      <c r="P405" s="496"/>
      <c r="Q405" s="497"/>
      <c r="R405" s="63"/>
      <c r="S405" s="498"/>
      <c r="T405" s="63"/>
      <c r="U405" s="63"/>
      <c r="V405" s="499"/>
      <c r="W405" s="499"/>
      <c r="X405" s="63"/>
      <c r="Y405" s="63"/>
      <c r="Z405" s="500"/>
      <c r="AA405" s="63"/>
      <c r="AB405" s="63"/>
      <c r="AC405" s="63"/>
      <c r="AD405" s="63"/>
      <c r="AE405" s="63"/>
      <c r="AF405" s="63"/>
      <c r="AG405" s="63"/>
      <c r="AH405" s="63"/>
      <c r="AI405" s="501"/>
      <c r="AJ405" s="63"/>
      <c r="AK405" s="25"/>
      <c r="AL405" s="25"/>
      <c r="AM405" s="25"/>
    </row>
    <row r="406" ht="14" spans="1:39">
      <c r="A406" s="25"/>
      <c r="B406" s="63"/>
      <c r="C406" s="25"/>
      <c r="D406" s="25"/>
      <c r="E406" s="25"/>
      <c r="F406" s="25"/>
      <c r="G406" s="25"/>
      <c r="H406" s="25"/>
      <c r="I406" s="25"/>
      <c r="J406" s="25"/>
      <c r="K406" s="25"/>
      <c r="L406" s="25"/>
      <c r="M406" s="495"/>
      <c r="N406" s="63"/>
      <c r="O406" s="63"/>
      <c r="P406" s="496"/>
      <c r="Q406" s="497"/>
      <c r="R406" s="63"/>
      <c r="S406" s="498"/>
      <c r="T406" s="63"/>
      <c r="U406" s="63"/>
      <c r="V406" s="499"/>
      <c r="W406" s="499"/>
      <c r="X406" s="63"/>
      <c r="Y406" s="63"/>
      <c r="Z406" s="500"/>
      <c r="AA406" s="63"/>
      <c r="AB406" s="63"/>
      <c r="AC406" s="63"/>
      <c r="AD406" s="63"/>
      <c r="AE406" s="63"/>
      <c r="AF406" s="63"/>
      <c r="AG406" s="63"/>
      <c r="AH406" s="63"/>
      <c r="AI406" s="501"/>
      <c r="AJ406" s="63"/>
      <c r="AK406" s="25"/>
      <c r="AL406" s="25"/>
      <c r="AM406" s="25"/>
    </row>
    <row r="407" ht="14" spans="1:39">
      <c r="A407" s="25"/>
      <c r="B407" s="63"/>
      <c r="C407" s="25"/>
      <c r="D407" s="25"/>
      <c r="E407" s="25"/>
      <c r="F407" s="25"/>
      <c r="G407" s="25"/>
      <c r="H407" s="25"/>
      <c r="I407" s="25"/>
      <c r="J407" s="25"/>
      <c r="K407" s="25"/>
      <c r="L407" s="25"/>
      <c r="M407" s="495"/>
      <c r="N407" s="63"/>
      <c r="O407" s="63"/>
      <c r="P407" s="496"/>
      <c r="Q407" s="497"/>
      <c r="R407" s="63"/>
      <c r="S407" s="498"/>
      <c r="T407" s="63"/>
      <c r="U407" s="63"/>
      <c r="V407" s="499"/>
      <c r="W407" s="499"/>
      <c r="X407" s="63"/>
      <c r="Y407" s="63"/>
      <c r="Z407" s="500"/>
      <c r="AA407" s="63"/>
      <c r="AB407" s="63"/>
      <c r="AC407" s="63"/>
      <c r="AD407" s="63"/>
      <c r="AE407" s="63"/>
      <c r="AF407" s="63"/>
      <c r="AG407" s="63"/>
      <c r="AH407" s="63"/>
      <c r="AI407" s="501"/>
      <c r="AJ407" s="63"/>
      <c r="AK407" s="25"/>
      <c r="AL407" s="25"/>
      <c r="AM407" s="25"/>
    </row>
    <row r="408" ht="14" spans="1:39">
      <c r="A408" s="25"/>
      <c r="B408" s="63"/>
      <c r="C408" s="25"/>
      <c r="D408" s="25"/>
      <c r="E408" s="25"/>
      <c r="F408" s="25"/>
      <c r="G408" s="25"/>
      <c r="H408" s="25"/>
      <c r="I408" s="25"/>
      <c r="J408" s="25"/>
      <c r="K408" s="25"/>
      <c r="L408" s="25"/>
      <c r="M408" s="495"/>
      <c r="N408" s="63"/>
      <c r="O408" s="63"/>
      <c r="P408" s="496"/>
      <c r="Q408" s="497"/>
      <c r="R408" s="63"/>
      <c r="S408" s="498"/>
      <c r="T408" s="63"/>
      <c r="U408" s="63"/>
      <c r="V408" s="499"/>
      <c r="W408" s="499"/>
      <c r="X408" s="63"/>
      <c r="Y408" s="63"/>
      <c r="Z408" s="500"/>
      <c r="AA408" s="63"/>
      <c r="AB408" s="63"/>
      <c r="AC408" s="63"/>
      <c r="AD408" s="63"/>
      <c r="AE408" s="63"/>
      <c r="AF408" s="63"/>
      <c r="AG408" s="63"/>
      <c r="AH408" s="63"/>
      <c r="AI408" s="501"/>
      <c r="AJ408" s="63"/>
      <c r="AK408" s="25"/>
      <c r="AL408" s="25"/>
      <c r="AM408" s="25"/>
    </row>
    <row r="409" ht="14" spans="1:39">
      <c r="A409" s="25"/>
      <c r="B409" s="63"/>
      <c r="C409" s="25"/>
      <c r="D409" s="25"/>
      <c r="E409" s="25"/>
      <c r="F409" s="25"/>
      <c r="G409" s="25"/>
      <c r="H409" s="25"/>
      <c r="I409" s="25"/>
      <c r="J409" s="25"/>
      <c r="K409" s="25"/>
      <c r="L409" s="25"/>
      <c r="M409" s="495"/>
      <c r="N409" s="63"/>
      <c r="O409" s="63"/>
      <c r="P409" s="496"/>
      <c r="Q409" s="497"/>
      <c r="R409" s="63"/>
      <c r="S409" s="498"/>
      <c r="T409" s="63"/>
      <c r="U409" s="63"/>
      <c r="V409" s="499"/>
      <c r="W409" s="499"/>
      <c r="X409" s="63"/>
      <c r="Y409" s="63"/>
      <c r="Z409" s="500"/>
      <c r="AA409" s="63"/>
      <c r="AB409" s="63"/>
      <c r="AC409" s="63"/>
      <c r="AD409" s="63"/>
      <c r="AE409" s="63"/>
      <c r="AF409" s="63"/>
      <c r="AG409" s="63"/>
      <c r="AH409" s="63"/>
      <c r="AI409" s="501"/>
      <c r="AJ409" s="63"/>
      <c r="AK409" s="25"/>
      <c r="AL409" s="25"/>
      <c r="AM409" s="25"/>
    </row>
    <row r="410" ht="14" spans="1:39">
      <c r="A410" s="25"/>
      <c r="B410" s="63"/>
      <c r="C410" s="25"/>
      <c r="D410" s="25"/>
      <c r="E410" s="25"/>
      <c r="F410" s="25"/>
      <c r="G410" s="25"/>
      <c r="H410" s="25"/>
      <c r="I410" s="25"/>
      <c r="J410" s="25"/>
      <c r="K410" s="25"/>
      <c r="L410" s="25"/>
      <c r="M410" s="495"/>
      <c r="N410" s="63"/>
      <c r="O410" s="63"/>
      <c r="P410" s="496"/>
      <c r="Q410" s="497"/>
      <c r="R410" s="63"/>
      <c r="S410" s="498"/>
      <c r="T410" s="63"/>
      <c r="U410" s="63"/>
      <c r="V410" s="499"/>
      <c r="W410" s="499"/>
      <c r="X410" s="63"/>
      <c r="Y410" s="63"/>
      <c r="Z410" s="500"/>
      <c r="AA410" s="63"/>
      <c r="AB410" s="63"/>
      <c r="AC410" s="63"/>
      <c r="AD410" s="63"/>
      <c r="AE410" s="63"/>
      <c r="AF410" s="63"/>
      <c r="AG410" s="63"/>
      <c r="AH410" s="63"/>
      <c r="AI410" s="501"/>
      <c r="AJ410" s="63"/>
      <c r="AK410" s="25"/>
      <c r="AL410" s="25"/>
      <c r="AM410" s="25"/>
    </row>
    <row r="411" ht="14" spans="1:39">
      <c r="A411" s="25"/>
      <c r="B411" s="63"/>
      <c r="C411" s="25"/>
      <c r="D411" s="25"/>
      <c r="E411" s="25"/>
      <c r="F411" s="25"/>
      <c r="G411" s="25"/>
      <c r="H411" s="25"/>
      <c r="I411" s="25"/>
      <c r="J411" s="25"/>
      <c r="K411" s="25"/>
      <c r="L411" s="25"/>
      <c r="M411" s="495"/>
      <c r="N411" s="63"/>
      <c r="O411" s="63"/>
      <c r="P411" s="496"/>
      <c r="Q411" s="497"/>
      <c r="R411" s="63"/>
      <c r="S411" s="498"/>
      <c r="T411" s="63"/>
      <c r="U411" s="63"/>
      <c r="V411" s="499"/>
      <c r="W411" s="499"/>
      <c r="X411" s="63"/>
      <c r="Y411" s="63"/>
      <c r="Z411" s="500"/>
      <c r="AA411" s="63"/>
      <c r="AB411" s="63"/>
      <c r="AC411" s="63"/>
      <c r="AD411" s="63"/>
      <c r="AE411" s="63"/>
      <c r="AF411" s="63"/>
      <c r="AG411" s="63"/>
      <c r="AH411" s="63"/>
      <c r="AI411" s="501"/>
      <c r="AJ411" s="63"/>
      <c r="AK411" s="25"/>
      <c r="AL411" s="25"/>
      <c r="AM411" s="25"/>
    </row>
    <row r="412" ht="14" spans="1:39">
      <c r="A412" s="25"/>
      <c r="B412" s="63"/>
      <c r="C412" s="25"/>
      <c r="D412" s="25"/>
      <c r="E412" s="25"/>
      <c r="F412" s="25"/>
      <c r="G412" s="25"/>
      <c r="H412" s="25"/>
      <c r="I412" s="25"/>
      <c r="J412" s="25"/>
      <c r="K412" s="25"/>
      <c r="L412" s="25"/>
      <c r="M412" s="495"/>
      <c r="N412" s="63"/>
      <c r="O412" s="63"/>
      <c r="P412" s="496"/>
      <c r="Q412" s="497"/>
      <c r="R412" s="63"/>
      <c r="S412" s="498"/>
      <c r="T412" s="63"/>
      <c r="U412" s="63"/>
      <c r="V412" s="499"/>
      <c r="W412" s="499"/>
      <c r="X412" s="63"/>
      <c r="Y412" s="63"/>
      <c r="Z412" s="500"/>
      <c r="AA412" s="63"/>
      <c r="AB412" s="63"/>
      <c r="AC412" s="63"/>
      <c r="AD412" s="63"/>
      <c r="AE412" s="63"/>
      <c r="AF412" s="63"/>
      <c r="AG412" s="63"/>
      <c r="AH412" s="63"/>
      <c r="AI412" s="501"/>
      <c r="AJ412" s="63"/>
      <c r="AK412" s="25"/>
      <c r="AL412" s="25"/>
      <c r="AM412" s="25"/>
    </row>
    <row r="413" ht="14" spans="1:39">
      <c r="A413" s="25"/>
      <c r="B413" s="63"/>
      <c r="C413" s="25"/>
      <c r="D413" s="25"/>
      <c r="E413" s="25"/>
      <c r="F413" s="25"/>
      <c r="G413" s="25"/>
      <c r="H413" s="25"/>
      <c r="I413" s="25"/>
      <c r="J413" s="25"/>
      <c r="K413" s="25"/>
      <c r="L413" s="25"/>
      <c r="M413" s="495"/>
      <c r="N413" s="63"/>
      <c r="O413" s="63"/>
      <c r="P413" s="496"/>
      <c r="Q413" s="497"/>
      <c r="R413" s="63"/>
      <c r="S413" s="498"/>
      <c r="T413" s="63"/>
      <c r="U413" s="63"/>
      <c r="V413" s="499"/>
      <c r="W413" s="499"/>
      <c r="X413" s="63"/>
      <c r="Y413" s="63"/>
      <c r="Z413" s="500"/>
      <c r="AA413" s="63"/>
      <c r="AB413" s="63"/>
      <c r="AC413" s="63"/>
      <c r="AD413" s="63"/>
      <c r="AE413" s="63"/>
      <c r="AF413" s="63"/>
      <c r="AG413" s="63"/>
      <c r="AH413" s="63"/>
      <c r="AI413" s="501"/>
      <c r="AJ413" s="63"/>
      <c r="AK413" s="25"/>
      <c r="AL413" s="25"/>
      <c r="AM413" s="25"/>
    </row>
    <row r="414" ht="14" spans="1:39">
      <c r="A414" s="25"/>
      <c r="B414" s="63"/>
      <c r="C414" s="25"/>
      <c r="D414" s="25"/>
      <c r="E414" s="25"/>
      <c r="F414" s="25"/>
      <c r="G414" s="25"/>
      <c r="H414" s="25"/>
      <c r="I414" s="25"/>
      <c r="J414" s="25"/>
      <c r="K414" s="25"/>
      <c r="L414" s="25"/>
      <c r="M414" s="495"/>
      <c r="N414" s="63"/>
      <c r="O414" s="63"/>
      <c r="P414" s="496"/>
      <c r="Q414" s="497"/>
      <c r="R414" s="63"/>
      <c r="S414" s="498"/>
      <c r="T414" s="63"/>
      <c r="U414" s="63"/>
      <c r="V414" s="499"/>
      <c r="W414" s="499"/>
      <c r="X414" s="63"/>
      <c r="Y414" s="63"/>
      <c r="Z414" s="500"/>
      <c r="AA414" s="63"/>
      <c r="AB414" s="63"/>
      <c r="AC414" s="63"/>
      <c r="AD414" s="63"/>
      <c r="AE414" s="63"/>
      <c r="AF414" s="63"/>
      <c r="AG414" s="63"/>
      <c r="AH414" s="63"/>
      <c r="AI414" s="501"/>
      <c r="AJ414" s="63"/>
      <c r="AK414" s="25"/>
      <c r="AL414" s="25"/>
      <c r="AM414" s="25"/>
    </row>
    <row r="415" ht="14" spans="1:39">
      <c r="A415" s="25"/>
      <c r="B415" s="63"/>
      <c r="C415" s="25"/>
      <c r="D415" s="25"/>
      <c r="E415" s="25"/>
      <c r="F415" s="25"/>
      <c r="G415" s="25"/>
      <c r="H415" s="25"/>
      <c r="I415" s="25"/>
      <c r="J415" s="25"/>
      <c r="K415" s="25"/>
      <c r="L415" s="25"/>
      <c r="M415" s="495"/>
      <c r="N415" s="63"/>
      <c r="O415" s="63"/>
      <c r="P415" s="496"/>
      <c r="Q415" s="497"/>
      <c r="R415" s="63"/>
      <c r="S415" s="498"/>
      <c r="T415" s="63"/>
      <c r="U415" s="63"/>
      <c r="V415" s="499"/>
      <c r="W415" s="499"/>
      <c r="X415" s="63"/>
      <c r="Y415" s="63"/>
      <c r="Z415" s="500"/>
      <c r="AA415" s="63"/>
      <c r="AB415" s="63"/>
      <c r="AC415" s="63"/>
      <c r="AD415" s="63"/>
      <c r="AE415" s="63"/>
      <c r="AF415" s="63"/>
      <c r="AG415" s="63"/>
      <c r="AH415" s="63"/>
      <c r="AI415" s="501"/>
      <c r="AJ415" s="63"/>
      <c r="AK415" s="25"/>
      <c r="AL415" s="25"/>
      <c r="AM415" s="25"/>
    </row>
    <row r="416" ht="14" spans="1:39">
      <c r="A416" s="25"/>
      <c r="B416" s="63"/>
      <c r="C416" s="25"/>
      <c r="D416" s="25"/>
      <c r="E416" s="25"/>
      <c r="F416" s="25"/>
      <c r="G416" s="25"/>
      <c r="H416" s="25"/>
      <c r="I416" s="25"/>
      <c r="J416" s="25"/>
      <c r="K416" s="25"/>
      <c r="L416" s="25"/>
      <c r="M416" s="495"/>
      <c r="N416" s="63"/>
      <c r="O416" s="63"/>
      <c r="P416" s="496"/>
      <c r="Q416" s="497"/>
      <c r="R416" s="63"/>
      <c r="S416" s="498"/>
      <c r="T416" s="63"/>
      <c r="U416" s="63"/>
      <c r="V416" s="499"/>
      <c r="W416" s="499"/>
      <c r="X416" s="63"/>
      <c r="Y416" s="63"/>
      <c r="Z416" s="500"/>
      <c r="AA416" s="63"/>
      <c r="AB416" s="63"/>
      <c r="AC416" s="63"/>
      <c r="AD416" s="63"/>
      <c r="AE416" s="63"/>
      <c r="AF416" s="63"/>
      <c r="AG416" s="63"/>
      <c r="AH416" s="63"/>
      <c r="AI416" s="501"/>
      <c r="AJ416" s="63"/>
      <c r="AK416" s="25"/>
      <c r="AL416" s="25"/>
      <c r="AM416" s="25"/>
    </row>
    <row r="417" ht="14" spans="1:39">
      <c r="A417" s="25"/>
      <c r="B417" s="63"/>
      <c r="C417" s="25"/>
      <c r="D417" s="25"/>
      <c r="E417" s="25"/>
      <c r="F417" s="25"/>
      <c r="G417" s="25"/>
      <c r="H417" s="25"/>
      <c r="I417" s="25"/>
      <c r="J417" s="25"/>
      <c r="K417" s="25"/>
      <c r="L417" s="25"/>
      <c r="M417" s="495"/>
      <c r="N417" s="63"/>
      <c r="O417" s="63"/>
      <c r="P417" s="496"/>
      <c r="Q417" s="497"/>
      <c r="R417" s="63"/>
      <c r="S417" s="498"/>
      <c r="T417" s="63"/>
      <c r="U417" s="63"/>
      <c r="V417" s="499"/>
      <c r="W417" s="499"/>
      <c r="X417" s="63"/>
      <c r="Y417" s="63"/>
      <c r="Z417" s="500"/>
      <c r="AA417" s="63"/>
      <c r="AB417" s="63"/>
      <c r="AC417" s="63"/>
      <c r="AD417" s="63"/>
      <c r="AE417" s="63"/>
      <c r="AF417" s="63"/>
      <c r="AG417" s="63"/>
      <c r="AH417" s="63"/>
      <c r="AI417" s="501"/>
      <c r="AJ417" s="63"/>
      <c r="AK417" s="25"/>
      <c r="AL417" s="25"/>
      <c r="AM417" s="25"/>
    </row>
    <row r="418" ht="14" spans="1:39">
      <c r="A418" s="25"/>
      <c r="B418" s="63"/>
      <c r="C418" s="25"/>
      <c r="D418" s="25"/>
      <c r="E418" s="25"/>
      <c r="F418" s="25"/>
      <c r="G418" s="25"/>
      <c r="H418" s="25"/>
      <c r="I418" s="25"/>
      <c r="J418" s="25"/>
      <c r="K418" s="25"/>
      <c r="L418" s="25"/>
      <c r="M418" s="495"/>
      <c r="N418" s="63"/>
      <c r="O418" s="63"/>
      <c r="P418" s="496"/>
      <c r="Q418" s="497"/>
      <c r="R418" s="63"/>
      <c r="S418" s="498"/>
      <c r="T418" s="63"/>
      <c r="U418" s="63"/>
      <c r="V418" s="499"/>
      <c r="W418" s="499"/>
      <c r="X418" s="63"/>
      <c r="Y418" s="63"/>
      <c r="Z418" s="500"/>
      <c r="AA418" s="63"/>
      <c r="AB418" s="63"/>
      <c r="AC418" s="63"/>
      <c r="AD418" s="63"/>
      <c r="AE418" s="63"/>
      <c r="AF418" s="63"/>
      <c r="AG418" s="63"/>
      <c r="AH418" s="63"/>
      <c r="AI418" s="501"/>
      <c r="AJ418" s="63"/>
      <c r="AK418" s="25"/>
      <c r="AL418" s="25"/>
      <c r="AM418" s="25"/>
    </row>
    <row r="419" ht="14" spans="1:39">
      <c r="A419" s="25"/>
      <c r="B419" s="63"/>
      <c r="C419" s="25"/>
      <c r="D419" s="25"/>
      <c r="E419" s="25"/>
      <c r="F419" s="25"/>
      <c r="G419" s="25"/>
      <c r="H419" s="25"/>
      <c r="I419" s="25"/>
      <c r="J419" s="25"/>
      <c r="K419" s="25"/>
      <c r="L419" s="25"/>
      <c r="M419" s="495"/>
      <c r="N419" s="63"/>
      <c r="O419" s="63"/>
      <c r="P419" s="496"/>
      <c r="Q419" s="497"/>
      <c r="R419" s="63"/>
      <c r="S419" s="498"/>
      <c r="T419" s="63"/>
      <c r="U419" s="63"/>
      <c r="V419" s="499"/>
      <c r="W419" s="499"/>
      <c r="X419" s="63"/>
      <c r="Y419" s="63"/>
      <c r="Z419" s="500"/>
      <c r="AA419" s="63"/>
      <c r="AB419" s="63"/>
      <c r="AC419" s="63"/>
      <c r="AD419" s="63"/>
      <c r="AE419" s="63"/>
      <c r="AF419" s="63"/>
      <c r="AG419" s="63"/>
      <c r="AH419" s="63"/>
      <c r="AI419" s="501"/>
      <c r="AJ419" s="63"/>
      <c r="AK419" s="25"/>
      <c r="AL419" s="25"/>
      <c r="AM419" s="25"/>
    </row>
    <row r="420" ht="14" spans="1:39">
      <c r="A420" s="25"/>
      <c r="B420" s="63"/>
      <c r="C420" s="25"/>
      <c r="D420" s="25"/>
      <c r="E420" s="25"/>
      <c r="F420" s="25"/>
      <c r="G420" s="25"/>
      <c r="H420" s="25"/>
      <c r="I420" s="25"/>
      <c r="J420" s="25"/>
      <c r="K420" s="25"/>
      <c r="L420" s="25"/>
      <c r="M420" s="495"/>
      <c r="N420" s="63"/>
      <c r="O420" s="63"/>
      <c r="P420" s="496"/>
      <c r="Q420" s="497"/>
      <c r="R420" s="63"/>
      <c r="S420" s="498"/>
      <c r="T420" s="63"/>
      <c r="U420" s="63"/>
      <c r="V420" s="499"/>
      <c r="W420" s="499"/>
      <c r="X420" s="63"/>
      <c r="Y420" s="63"/>
      <c r="Z420" s="500"/>
      <c r="AA420" s="63"/>
      <c r="AB420" s="63"/>
      <c r="AC420" s="63"/>
      <c r="AD420" s="63"/>
      <c r="AE420" s="63"/>
      <c r="AF420" s="63"/>
      <c r="AG420" s="63"/>
      <c r="AH420" s="63"/>
      <c r="AI420" s="501"/>
      <c r="AJ420" s="63"/>
      <c r="AK420" s="25"/>
      <c r="AL420" s="25"/>
      <c r="AM420" s="25"/>
    </row>
    <row r="421" ht="14" spans="1:39">
      <c r="A421" s="25"/>
      <c r="B421" s="63"/>
      <c r="C421" s="25"/>
      <c r="D421" s="25"/>
      <c r="E421" s="25"/>
      <c r="F421" s="25"/>
      <c r="G421" s="25"/>
      <c r="H421" s="25"/>
      <c r="I421" s="25"/>
      <c r="J421" s="25"/>
      <c r="K421" s="25"/>
      <c r="L421" s="25"/>
      <c r="M421" s="495"/>
      <c r="N421" s="63"/>
      <c r="O421" s="63"/>
      <c r="P421" s="496"/>
      <c r="Q421" s="497"/>
      <c r="R421" s="63"/>
      <c r="S421" s="498"/>
      <c r="T421" s="63"/>
      <c r="U421" s="63"/>
      <c r="V421" s="499"/>
      <c r="W421" s="499"/>
      <c r="X421" s="63"/>
      <c r="Y421" s="63"/>
      <c r="Z421" s="500"/>
      <c r="AA421" s="63"/>
      <c r="AB421" s="63"/>
      <c r="AC421" s="63"/>
      <c r="AD421" s="63"/>
      <c r="AE421" s="63"/>
      <c r="AF421" s="63"/>
      <c r="AG421" s="63"/>
      <c r="AH421" s="63"/>
      <c r="AI421" s="501"/>
      <c r="AJ421" s="63"/>
      <c r="AK421" s="25"/>
      <c r="AL421" s="25"/>
      <c r="AM421" s="25"/>
    </row>
    <row r="422" ht="14" spans="1:39">
      <c r="A422" s="25"/>
      <c r="B422" s="63"/>
      <c r="C422" s="25"/>
      <c r="D422" s="25"/>
      <c r="E422" s="25"/>
      <c r="F422" s="25"/>
      <c r="G422" s="25"/>
      <c r="H422" s="25"/>
      <c r="I422" s="25"/>
      <c r="J422" s="25"/>
      <c r="K422" s="25"/>
      <c r="L422" s="25"/>
      <c r="M422" s="495"/>
      <c r="N422" s="63"/>
      <c r="O422" s="63"/>
      <c r="P422" s="496"/>
      <c r="Q422" s="497"/>
      <c r="R422" s="63"/>
      <c r="S422" s="498"/>
      <c r="T422" s="63"/>
      <c r="U422" s="63"/>
      <c r="V422" s="499"/>
      <c r="W422" s="499"/>
      <c r="X422" s="63"/>
      <c r="Y422" s="63"/>
      <c r="Z422" s="500"/>
      <c r="AA422" s="63"/>
      <c r="AB422" s="63"/>
      <c r="AC422" s="63"/>
      <c r="AD422" s="63"/>
      <c r="AE422" s="63"/>
      <c r="AF422" s="63"/>
      <c r="AG422" s="63"/>
      <c r="AH422" s="63"/>
      <c r="AI422" s="501"/>
      <c r="AJ422" s="63"/>
      <c r="AK422" s="25"/>
      <c r="AL422" s="25"/>
      <c r="AM422" s="25"/>
    </row>
    <row r="423" ht="14" spans="1:39">
      <c r="A423" s="25"/>
      <c r="B423" s="63"/>
      <c r="C423" s="25"/>
      <c r="D423" s="25"/>
      <c r="E423" s="25"/>
      <c r="F423" s="25"/>
      <c r="G423" s="25"/>
      <c r="H423" s="25"/>
      <c r="I423" s="25"/>
      <c r="J423" s="25"/>
      <c r="K423" s="25"/>
      <c r="L423" s="25"/>
      <c r="M423" s="495"/>
      <c r="N423" s="63"/>
      <c r="O423" s="63"/>
      <c r="P423" s="496"/>
      <c r="Q423" s="497"/>
      <c r="R423" s="63"/>
      <c r="S423" s="498"/>
      <c r="T423" s="63"/>
      <c r="U423" s="63"/>
      <c r="V423" s="499"/>
      <c r="W423" s="499"/>
      <c r="X423" s="63"/>
      <c r="Y423" s="63"/>
      <c r="Z423" s="500"/>
      <c r="AA423" s="63"/>
      <c r="AB423" s="63"/>
      <c r="AC423" s="63"/>
      <c r="AD423" s="63"/>
      <c r="AE423" s="63"/>
      <c r="AF423" s="63"/>
      <c r="AG423" s="63"/>
      <c r="AH423" s="63"/>
      <c r="AI423" s="501"/>
      <c r="AJ423" s="63"/>
      <c r="AK423" s="25"/>
      <c r="AL423" s="25"/>
      <c r="AM423" s="25"/>
    </row>
    <row r="424" ht="14" spans="1:39">
      <c r="A424" s="25"/>
      <c r="B424" s="63"/>
      <c r="C424" s="25"/>
      <c r="D424" s="25"/>
      <c r="E424" s="25"/>
      <c r="F424" s="25"/>
      <c r="G424" s="25"/>
      <c r="H424" s="25"/>
      <c r="I424" s="25"/>
      <c r="J424" s="25"/>
      <c r="K424" s="25"/>
      <c r="L424" s="25"/>
      <c r="M424" s="495"/>
      <c r="N424" s="63"/>
      <c r="O424" s="63"/>
      <c r="P424" s="496"/>
      <c r="Q424" s="497"/>
      <c r="R424" s="63"/>
      <c r="S424" s="498"/>
      <c r="T424" s="63"/>
      <c r="U424" s="63"/>
      <c r="V424" s="499"/>
      <c r="W424" s="499"/>
      <c r="X424" s="63"/>
      <c r="Y424" s="63"/>
      <c r="Z424" s="500"/>
      <c r="AA424" s="63"/>
      <c r="AB424" s="63"/>
      <c r="AC424" s="63"/>
      <c r="AD424" s="63"/>
      <c r="AE424" s="63"/>
      <c r="AF424" s="63"/>
      <c r="AG424" s="63"/>
      <c r="AH424" s="63"/>
      <c r="AI424" s="501"/>
      <c r="AJ424" s="63"/>
      <c r="AK424" s="25"/>
      <c r="AL424" s="25"/>
      <c r="AM424" s="25"/>
    </row>
    <row r="425" ht="14" spans="1:39">
      <c r="A425" s="25"/>
      <c r="B425" s="63"/>
      <c r="C425" s="25"/>
      <c r="D425" s="25"/>
      <c r="E425" s="25"/>
      <c r="F425" s="25"/>
      <c r="G425" s="25"/>
      <c r="H425" s="25"/>
      <c r="I425" s="25"/>
      <c r="J425" s="25"/>
      <c r="K425" s="25"/>
      <c r="L425" s="25"/>
      <c r="M425" s="495"/>
      <c r="N425" s="63"/>
      <c r="O425" s="63"/>
      <c r="P425" s="496"/>
      <c r="Q425" s="497"/>
      <c r="R425" s="63"/>
      <c r="S425" s="498"/>
      <c r="T425" s="63"/>
      <c r="U425" s="63"/>
      <c r="V425" s="499"/>
      <c r="W425" s="499"/>
      <c r="X425" s="63"/>
      <c r="Y425" s="63"/>
      <c r="Z425" s="500"/>
      <c r="AA425" s="63"/>
      <c r="AB425" s="63"/>
      <c r="AC425" s="63"/>
      <c r="AD425" s="63"/>
      <c r="AE425" s="63"/>
      <c r="AF425" s="63"/>
      <c r="AG425" s="63"/>
      <c r="AH425" s="63"/>
      <c r="AI425" s="501"/>
      <c r="AJ425" s="63"/>
      <c r="AK425" s="25"/>
      <c r="AL425" s="25"/>
      <c r="AM425" s="25"/>
    </row>
    <row r="426" ht="14" spans="1:39">
      <c r="A426" s="25"/>
      <c r="B426" s="63"/>
      <c r="C426" s="25"/>
      <c r="D426" s="25"/>
      <c r="E426" s="25"/>
      <c r="F426" s="25"/>
      <c r="G426" s="25"/>
      <c r="H426" s="25"/>
      <c r="I426" s="25"/>
      <c r="J426" s="25"/>
      <c r="K426" s="25"/>
      <c r="L426" s="25"/>
      <c r="M426" s="495"/>
      <c r="N426" s="63"/>
      <c r="O426" s="63"/>
      <c r="P426" s="496"/>
      <c r="Q426" s="497"/>
      <c r="R426" s="63"/>
      <c r="S426" s="498"/>
      <c r="T426" s="63"/>
      <c r="U426" s="63"/>
      <c r="V426" s="499"/>
      <c r="W426" s="499"/>
      <c r="X426" s="63"/>
      <c r="Y426" s="63"/>
      <c r="Z426" s="500"/>
      <c r="AA426" s="63"/>
      <c r="AB426" s="63"/>
      <c r="AC426" s="63"/>
      <c r="AD426" s="63"/>
      <c r="AE426" s="63"/>
      <c r="AF426" s="63"/>
      <c r="AG426" s="63"/>
      <c r="AH426" s="63"/>
      <c r="AI426" s="501"/>
      <c r="AJ426" s="63"/>
      <c r="AK426" s="25"/>
      <c r="AL426" s="25"/>
      <c r="AM426" s="25"/>
    </row>
    <row r="427" ht="14" spans="1:39">
      <c r="A427" s="25"/>
      <c r="B427" s="63"/>
      <c r="C427" s="25"/>
      <c r="D427" s="25"/>
      <c r="E427" s="25"/>
      <c r="F427" s="25"/>
      <c r="G427" s="25"/>
      <c r="H427" s="25"/>
      <c r="I427" s="25"/>
      <c r="J427" s="25"/>
      <c r="K427" s="25"/>
      <c r="L427" s="25"/>
      <c r="M427" s="495"/>
      <c r="N427" s="63"/>
      <c r="O427" s="63"/>
      <c r="P427" s="496"/>
      <c r="Q427" s="497"/>
      <c r="R427" s="63"/>
      <c r="S427" s="498"/>
      <c r="T427" s="63"/>
      <c r="U427" s="63"/>
      <c r="V427" s="499"/>
      <c r="W427" s="499"/>
      <c r="X427" s="63"/>
      <c r="Y427" s="63"/>
      <c r="Z427" s="500"/>
      <c r="AA427" s="63"/>
      <c r="AB427" s="63"/>
      <c r="AC427" s="63"/>
      <c r="AD427" s="63"/>
      <c r="AE427" s="63"/>
      <c r="AF427" s="63"/>
      <c r="AG427" s="63"/>
      <c r="AH427" s="63"/>
      <c r="AI427" s="501"/>
      <c r="AJ427" s="63"/>
      <c r="AK427" s="25"/>
      <c r="AL427" s="25"/>
      <c r="AM427" s="25"/>
    </row>
    <row r="428" ht="14" spans="1:39">
      <c r="A428" s="25"/>
      <c r="B428" s="63"/>
      <c r="C428" s="25"/>
      <c r="D428" s="25"/>
      <c r="E428" s="25"/>
      <c r="F428" s="25"/>
      <c r="G428" s="25"/>
      <c r="H428" s="25"/>
      <c r="I428" s="25"/>
      <c r="J428" s="25"/>
      <c r="K428" s="25"/>
      <c r="L428" s="25"/>
      <c r="M428" s="495"/>
      <c r="N428" s="63"/>
      <c r="O428" s="63"/>
      <c r="P428" s="496"/>
      <c r="Q428" s="497"/>
      <c r="R428" s="63"/>
      <c r="S428" s="498"/>
      <c r="T428" s="63"/>
      <c r="U428" s="63"/>
      <c r="V428" s="499"/>
      <c r="W428" s="499"/>
      <c r="X428" s="63"/>
      <c r="Y428" s="63"/>
      <c r="Z428" s="500"/>
      <c r="AA428" s="63"/>
      <c r="AB428" s="63"/>
      <c r="AC428" s="63"/>
      <c r="AD428" s="63"/>
      <c r="AE428" s="63"/>
      <c r="AF428" s="63"/>
      <c r="AG428" s="63"/>
      <c r="AH428" s="63"/>
      <c r="AI428" s="501"/>
      <c r="AJ428" s="63"/>
      <c r="AK428" s="25"/>
      <c r="AL428" s="25"/>
      <c r="AM428" s="25"/>
    </row>
    <row r="429" ht="14" spans="1:39">
      <c r="A429" s="25"/>
      <c r="B429" s="63"/>
      <c r="C429" s="25"/>
      <c r="D429" s="25"/>
      <c r="E429" s="25"/>
      <c r="F429" s="25"/>
      <c r="G429" s="25"/>
      <c r="H429" s="25"/>
      <c r="I429" s="25"/>
      <c r="J429" s="25"/>
      <c r="K429" s="25"/>
      <c r="L429" s="25"/>
      <c r="M429" s="495"/>
      <c r="N429" s="63"/>
      <c r="O429" s="63"/>
      <c r="P429" s="496"/>
      <c r="Q429" s="497"/>
      <c r="R429" s="63"/>
      <c r="S429" s="498"/>
      <c r="T429" s="63"/>
      <c r="U429" s="63"/>
      <c r="V429" s="499"/>
      <c r="W429" s="499"/>
      <c r="X429" s="63"/>
      <c r="Y429" s="63"/>
      <c r="Z429" s="500"/>
      <c r="AA429" s="63"/>
      <c r="AB429" s="63"/>
      <c r="AC429" s="63"/>
      <c r="AD429" s="63"/>
      <c r="AE429" s="63"/>
      <c r="AF429" s="63"/>
      <c r="AG429" s="63"/>
      <c r="AH429" s="63"/>
      <c r="AI429" s="501"/>
      <c r="AJ429" s="63"/>
      <c r="AK429" s="25"/>
      <c r="AL429" s="25"/>
      <c r="AM429" s="25"/>
    </row>
    <row r="430" ht="14" spans="1:39">
      <c r="A430" s="25"/>
      <c r="B430" s="63"/>
      <c r="C430" s="25"/>
      <c r="D430" s="25"/>
      <c r="E430" s="25"/>
      <c r="F430" s="25"/>
      <c r="G430" s="25"/>
      <c r="H430" s="25"/>
      <c r="I430" s="25"/>
      <c r="J430" s="25"/>
      <c r="K430" s="25"/>
      <c r="L430" s="25"/>
      <c r="M430" s="495"/>
      <c r="N430" s="63"/>
      <c r="O430" s="63"/>
      <c r="P430" s="496"/>
      <c r="Q430" s="497"/>
      <c r="R430" s="63"/>
      <c r="S430" s="498"/>
      <c r="T430" s="63"/>
      <c r="U430" s="63"/>
      <c r="V430" s="499"/>
      <c r="W430" s="499"/>
      <c r="X430" s="63"/>
      <c r="Y430" s="63"/>
      <c r="Z430" s="500"/>
      <c r="AA430" s="63"/>
      <c r="AB430" s="63"/>
      <c r="AC430" s="63"/>
      <c r="AD430" s="63"/>
      <c r="AE430" s="63"/>
      <c r="AF430" s="63"/>
      <c r="AG430" s="63"/>
      <c r="AH430" s="63"/>
      <c r="AI430" s="501"/>
      <c r="AJ430" s="63"/>
      <c r="AK430" s="25"/>
      <c r="AL430" s="25"/>
      <c r="AM430" s="25"/>
    </row>
    <row r="431" ht="14" spans="1:39">
      <c r="A431" s="25"/>
      <c r="B431" s="63"/>
      <c r="C431" s="25"/>
      <c r="D431" s="25"/>
      <c r="E431" s="25"/>
      <c r="F431" s="25"/>
      <c r="G431" s="25"/>
      <c r="H431" s="25"/>
      <c r="I431" s="25"/>
      <c r="J431" s="25"/>
      <c r="K431" s="25"/>
      <c r="L431" s="25"/>
      <c r="M431" s="495"/>
      <c r="N431" s="63"/>
      <c r="O431" s="63"/>
      <c r="P431" s="496"/>
      <c r="Q431" s="497"/>
      <c r="R431" s="63"/>
      <c r="S431" s="498"/>
      <c r="T431" s="63"/>
      <c r="U431" s="63"/>
      <c r="V431" s="499"/>
      <c r="W431" s="499"/>
      <c r="X431" s="63"/>
      <c r="Y431" s="63"/>
      <c r="Z431" s="500"/>
      <c r="AA431" s="63"/>
      <c r="AB431" s="63"/>
      <c r="AC431" s="63"/>
      <c r="AD431" s="63"/>
      <c r="AE431" s="63"/>
      <c r="AF431" s="63"/>
      <c r="AG431" s="63"/>
      <c r="AH431" s="63"/>
      <c r="AI431" s="501"/>
      <c r="AJ431" s="63"/>
      <c r="AK431" s="25"/>
      <c r="AL431" s="25"/>
      <c r="AM431" s="25"/>
    </row>
    <row r="432" ht="14" spans="1:39">
      <c r="A432" s="25"/>
      <c r="B432" s="63"/>
      <c r="C432" s="25"/>
      <c r="D432" s="25"/>
      <c r="E432" s="25"/>
      <c r="F432" s="25"/>
      <c r="G432" s="25"/>
      <c r="H432" s="25"/>
      <c r="I432" s="25"/>
      <c r="J432" s="25"/>
      <c r="K432" s="25"/>
      <c r="L432" s="25"/>
      <c r="M432" s="495"/>
      <c r="N432" s="63"/>
      <c r="O432" s="63"/>
      <c r="P432" s="496"/>
      <c r="Q432" s="497"/>
      <c r="R432" s="63"/>
      <c r="S432" s="498"/>
      <c r="T432" s="63"/>
      <c r="U432" s="63"/>
      <c r="V432" s="499"/>
      <c r="W432" s="499"/>
      <c r="X432" s="63"/>
      <c r="Y432" s="63"/>
      <c r="Z432" s="500"/>
      <c r="AA432" s="63"/>
      <c r="AB432" s="63"/>
      <c r="AC432" s="63"/>
      <c r="AD432" s="63"/>
      <c r="AE432" s="63"/>
      <c r="AF432" s="63"/>
      <c r="AG432" s="63"/>
      <c r="AH432" s="63"/>
      <c r="AI432" s="501"/>
      <c r="AJ432" s="63"/>
      <c r="AK432" s="25"/>
      <c r="AL432" s="25"/>
      <c r="AM432" s="25"/>
    </row>
    <row r="433" ht="14" spans="1:39">
      <c r="A433" s="25"/>
      <c r="B433" s="63"/>
      <c r="C433" s="25"/>
      <c r="D433" s="25"/>
      <c r="E433" s="25"/>
      <c r="F433" s="25"/>
      <c r="G433" s="25"/>
      <c r="H433" s="25"/>
      <c r="I433" s="25"/>
      <c r="J433" s="25"/>
      <c r="K433" s="25"/>
      <c r="L433" s="25"/>
      <c r="M433" s="495"/>
      <c r="N433" s="63"/>
      <c r="O433" s="63"/>
      <c r="P433" s="496"/>
      <c r="Q433" s="497"/>
      <c r="R433" s="63"/>
      <c r="S433" s="498"/>
      <c r="T433" s="63"/>
      <c r="U433" s="63"/>
      <c r="V433" s="499"/>
      <c r="W433" s="499"/>
      <c r="X433" s="63"/>
      <c r="Y433" s="63"/>
      <c r="Z433" s="500"/>
      <c r="AA433" s="63"/>
      <c r="AB433" s="63"/>
      <c r="AC433" s="63"/>
      <c r="AD433" s="63"/>
      <c r="AE433" s="63"/>
      <c r="AF433" s="63"/>
      <c r="AG433" s="63"/>
      <c r="AH433" s="63"/>
      <c r="AI433" s="501"/>
      <c r="AJ433" s="63"/>
      <c r="AK433" s="25"/>
      <c r="AL433" s="25"/>
      <c r="AM433" s="25"/>
    </row>
    <row r="434" ht="14" spans="1:39">
      <c r="A434" s="25"/>
      <c r="B434" s="63"/>
      <c r="C434" s="25"/>
      <c r="D434" s="25"/>
      <c r="E434" s="25"/>
      <c r="F434" s="25"/>
      <c r="G434" s="25"/>
      <c r="H434" s="25"/>
      <c r="I434" s="25"/>
      <c r="J434" s="25"/>
      <c r="K434" s="25"/>
      <c r="L434" s="25"/>
      <c r="M434" s="495"/>
      <c r="N434" s="63"/>
      <c r="O434" s="63"/>
      <c r="P434" s="496"/>
      <c r="Q434" s="497"/>
      <c r="R434" s="63"/>
      <c r="S434" s="498"/>
      <c r="T434" s="63"/>
      <c r="U434" s="63"/>
      <c r="V434" s="499"/>
      <c r="W434" s="499"/>
      <c r="X434" s="63"/>
      <c r="Y434" s="63"/>
      <c r="Z434" s="500"/>
      <c r="AA434" s="63"/>
      <c r="AB434" s="63"/>
      <c r="AC434" s="63"/>
      <c r="AD434" s="63"/>
      <c r="AE434" s="63"/>
      <c r="AF434" s="63"/>
      <c r="AG434" s="63"/>
      <c r="AH434" s="63"/>
      <c r="AI434" s="501"/>
      <c r="AJ434" s="63"/>
      <c r="AK434" s="25"/>
      <c r="AL434" s="25"/>
      <c r="AM434" s="25"/>
    </row>
    <row r="435" ht="14" spans="1:39">
      <c r="A435" s="25"/>
      <c r="B435" s="63"/>
      <c r="C435" s="25"/>
      <c r="D435" s="25"/>
      <c r="E435" s="25"/>
      <c r="F435" s="25"/>
      <c r="G435" s="25"/>
      <c r="H435" s="25"/>
      <c r="I435" s="25"/>
      <c r="J435" s="25"/>
      <c r="K435" s="25"/>
      <c r="L435" s="25"/>
      <c r="M435" s="495"/>
      <c r="N435" s="63"/>
      <c r="O435" s="63"/>
      <c r="P435" s="496"/>
      <c r="Q435" s="497"/>
      <c r="R435" s="63"/>
      <c r="S435" s="498"/>
      <c r="T435" s="63"/>
      <c r="U435" s="63"/>
      <c r="V435" s="499"/>
      <c r="W435" s="499"/>
      <c r="X435" s="63"/>
      <c r="Y435" s="63"/>
      <c r="Z435" s="500"/>
      <c r="AA435" s="63"/>
      <c r="AB435" s="63"/>
      <c r="AC435" s="63"/>
      <c r="AD435" s="63"/>
      <c r="AE435" s="63"/>
      <c r="AF435" s="63"/>
      <c r="AG435" s="63"/>
      <c r="AH435" s="63"/>
      <c r="AI435" s="501"/>
      <c r="AJ435" s="63"/>
      <c r="AK435" s="25"/>
      <c r="AL435" s="25"/>
      <c r="AM435" s="25"/>
    </row>
    <row r="436" ht="14" spans="1:39">
      <c r="A436" s="25"/>
      <c r="B436" s="63"/>
      <c r="C436" s="25"/>
      <c r="D436" s="25"/>
      <c r="E436" s="25"/>
      <c r="F436" s="25"/>
      <c r="G436" s="25"/>
      <c r="H436" s="25"/>
      <c r="I436" s="25"/>
      <c r="J436" s="25"/>
      <c r="K436" s="25"/>
      <c r="L436" s="25"/>
      <c r="M436" s="495"/>
      <c r="N436" s="63"/>
      <c r="O436" s="63"/>
      <c r="P436" s="496"/>
      <c r="Q436" s="497"/>
      <c r="R436" s="63"/>
      <c r="S436" s="498"/>
      <c r="T436" s="63"/>
      <c r="U436" s="63"/>
      <c r="V436" s="499"/>
      <c r="W436" s="499"/>
      <c r="X436" s="63"/>
      <c r="Y436" s="63"/>
      <c r="Z436" s="500"/>
      <c r="AA436" s="63"/>
      <c r="AB436" s="63"/>
      <c r="AC436" s="63"/>
      <c r="AD436" s="63"/>
      <c r="AE436" s="63"/>
      <c r="AF436" s="63"/>
      <c r="AG436" s="63"/>
      <c r="AH436" s="63"/>
      <c r="AI436" s="501"/>
      <c r="AJ436" s="63"/>
      <c r="AK436" s="25"/>
      <c r="AL436" s="25"/>
      <c r="AM436" s="25"/>
    </row>
    <row r="437" ht="14" spans="1:39">
      <c r="A437" s="25"/>
      <c r="B437" s="63"/>
      <c r="C437" s="25"/>
      <c r="D437" s="25"/>
      <c r="E437" s="25"/>
      <c r="F437" s="25"/>
      <c r="G437" s="25"/>
      <c r="H437" s="25"/>
      <c r="I437" s="25"/>
      <c r="J437" s="25"/>
      <c r="K437" s="25"/>
      <c r="L437" s="25"/>
      <c r="M437" s="495"/>
      <c r="N437" s="63"/>
      <c r="O437" s="63"/>
      <c r="P437" s="496"/>
      <c r="Q437" s="497"/>
      <c r="R437" s="63"/>
      <c r="S437" s="498"/>
      <c r="T437" s="63"/>
      <c r="U437" s="63"/>
      <c r="V437" s="499"/>
      <c r="W437" s="499"/>
      <c r="X437" s="63"/>
      <c r="Y437" s="63"/>
      <c r="Z437" s="500"/>
      <c r="AA437" s="63"/>
      <c r="AB437" s="63"/>
      <c r="AC437" s="63"/>
      <c r="AD437" s="63"/>
      <c r="AE437" s="63"/>
      <c r="AF437" s="63"/>
      <c r="AG437" s="63"/>
      <c r="AH437" s="63"/>
      <c r="AI437" s="501"/>
      <c r="AJ437" s="63"/>
      <c r="AK437" s="25"/>
      <c r="AL437" s="25"/>
      <c r="AM437" s="25"/>
    </row>
    <row r="438" ht="14" spans="1:39">
      <c r="A438" s="25"/>
      <c r="B438" s="63"/>
      <c r="C438" s="25"/>
      <c r="D438" s="25"/>
      <c r="E438" s="25"/>
      <c r="F438" s="25"/>
      <c r="G438" s="25"/>
      <c r="H438" s="25"/>
      <c r="I438" s="25"/>
      <c r="J438" s="25"/>
      <c r="K438" s="25"/>
      <c r="L438" s="25"/>
      <c r="M438" s="495"/>
      <c r="N438" s="63"/>
      <c r="O438" s="63"/>
      <c r="P438" s="496"/>
      <c r="Q438" s="497"/>
      <c r="R438" s="63"/>
      <c r="S438" s="498"/>
      <c r="T438" s="63"/>
      <c r="U438" s="63"/>
      <c r="V438" s="499"/>
      <c r="W438" s="499"/>
      <c r="X438" s="63"/>
      <c r="Y438" s="63"/>
      <c r="Z438" s="500"/>
      <c r="AA438" s="63"/>
      <c r="AB438" s="63"/>
      <c r="AC438" s="63"/>
      <c r="AD438" s="63"/>
      <c r="AE438" s="63"/>
      <c r="AF438" s="63"/>
      <c r="AG438" s="63"/>
      <c r="AH438" s="63"/>
      <c r="AI438" s="501"/>
      <c r="AJ438" s="63"/>
      <c r="AK438" s="25"/>
      <c r="AL438" s="25"/>
      <c r="AM438" s="25"/>
    </row>
    <row r="439" ht="14" spans="1:39">
      <c r="A439" s="25"/>
      <c r="B439" s="63"/>
      <c r="C439" s="25"/>
      <c r="D439" s="25"/>
      <c r="E439" s="25"/>
      <c r="F439" s="25"/>
      <c r="G439" s="25"/>
      <c r="H439" s="25"/>
      <c r="I439" s="25"/>
      <c r="J439" s="25"/>
      <c r="K439" s="25"/>
      <c r="L439" s="25"/>
      <c r="M439" s="495"/>
      <c r="N439" s="63"/>
      <c r="O439" s="63"/>
      <c r="P439" s="496"/>
      <c r="Q439" s="497"/>
      <c r="R439" s="63"/>
      <c r="S439" s="498"/>
      <c r="T439" s="63"/>
      <c r="U439" s="63"/>
      <c r="V439" s="499"/>
      <c r="W439" s="499"/>
      <c r="X439" s="63"/>
      <c r="Y439" s="63"/>
      <c r="Z439" s="500"/>
      <c r="AA439" s="63"/>
      <c r="AB439" s="63"/>
      <c r="AC439" s="63"/>
      <c r="AD439" s="63"/>
      <c r="AE439" s="63"/>
      <c r="AF439" s="63"/>
      <c r="AG439" s="63"/>
      <c r="AH439" s="63"/>
      <c r="AI439" s="501"/>
      <c r="AJ439" s="63"/>
      <c r="AK439" s="25"/>
      <c r="AL439" s="25"/>
      <c r="AM439" s="25"/>
    </row>
    <row r="440" ht="14" spans="1:39">
      <c r="A440" s="25"/>
      <c r="B440" s="63"/>
      <c r="C440" s="25"/>
      <c r="D440" s="25"/>
      <c r="E440" s="25"/>
      <c r="F440" s="25"/>
      <c r="G440" s="25"/>
      <c r="H440" s="25"/>
      <c r="I440" s="25"/>
      <c r="J440" s="25"/>
      <c r="K440" s="25"/>
      <c r="L440" s="25"/>
      <c r="M440" s="495"/>
      <c r="N440" s="63"/>
      <c r="O440" s="63"/>
      <c r="P440" s="496"/>
      <c r="Q440" s="497"/>
      <c r="R440" s="63"/>
      <c r="S440" s="498"/>
      <c r="T440" s="63"/>
      <c r="U440" s="63"/>
      <c r="V440" s="499"/>
      <c r="W440" s="499"/>
      <c r="X440" s="63"/>
      <c r="Y440" s="63"/>
      <c r="Z440" s="500"/>
      <c r="AA440" s="63"/>
      <c r="AB440" s="63"/>
      <c r="AC440" s="63"/>
      <c r="AD440" s="63"/>
      <c r="AE440" s="63"/>
      <c r="AF440" s="63"/>
      <c r="AG440" s="63"/>
      <c r="AH440" s="63"/>
      <c r="AI440" s="501"/>
      <c r="AJ440" s="63"/>
      <c r="AK440" s="25"/>
      <c r="AL440" s="25"/>
      <c r="AM440" s="25"/>
    </row>
    <row r="441" ht="14" spans="1:39">
      <c r="A441" s="25"/>
      <c r="B441" s="63"/>
      <c r="C441" s="25"/>
      <c r="D441" s="25"/>
      <c r="E441" s="25"/>
      <c r="F441" s="25"/>
      <c r="G441" s="25"/>
      <c r="H441" s="25"/>
      <c r="I441" s="25"/>
      <c r="J441" s="25"/>
      <c r="K441" s="25"/>
      <c r="L441" s="25"/>
      <c r="M441" s="495"/>
      <c r="N441" s="63"/>
      <c r="O441" s="63"/>
      <c r="P441" s="496"/>
      <c r="Q441" s="497"/>
      <c r="R441" s="63"/>
      <c r="S441" s="498"/>
      <c r="T441" s="63"/>
      <c r="U441" s="63"/>
      <c r="V441" s="499"/>
      <c r="W441" s="499"/>
      <c r="X441" s="63"/>
      <c r="Y441" s="63"/>
      <c r="Z441" s="500"/>
      <c r="AA441" s="63"/>
      <c r="AB441" s="63"/>
      <c r="AC441" s="63"/>
      <c r="AD441" s="63"/>
      <c r="AE441" s="63"/>
      <c r="AF441" s="63"/>
      <c r="AG441" s="63"/>
      <c r="AH441" s="63"/>
      <c r="AI441" s="501"/>
      <c r="AJ441" s="63"/>
      <c r="AK441" s="25"/>
      <c r="AL441" s="25"/>
      <c r="AM441" s="25"/>
    </row>
    <row r="442" ht="14" spans="1:39">
      <c r="A442" s="25"/>
      <c r="B442" s="63"/>
      <c r="C442" s="25"/>
      <c r="D442" s="25"/>
      <c r="E442" s="25"/>
      <c r="F442" s="25"/>
      <c r="G442" s="25"/>
      <c r="H442" s="25"/>
      <c r="I442" s="25"/>
      <c r="J442" s="25"/>
      <c r="K442" s="25"/>
      <c r="L442" s="25"/>
      <c r="M442" s="495"/>
      <c r="N442" s="63"/>
      <c r="O442" s="63"/>
      <c r="P442" s="496"/>
      <c r="Q442" s="497"/>
      <c r="R442" s="63"/>
      <c r="S442" s="498"/>
      <c r="T442" s="63"/>
      <c r="U442" s="63"/>
      <c r="V442" s="499"/>
      <c r="W442" s="499"/>
      <c r="X442" s="63"/>
      <c r="Y442" s="63"/>
      <c r="Z442" s="500"/>
      <c r="AA442" s="63"/>
      <c r="AB442" s="63"/>
      <c r="AC442" s="63"/>
      <c r="AD442" s="63"/>
      <c r="AE442" s="63"/>
      <c r="AF442" s="63"/>
      <c r="AG442" s="63"/>
      <c r="AH442" s="63"/>
      <c r="AI442" s="501"/>
      <c r="AJ442" s="63"/>
      <c r="AK442" s="25"/>
      <c r="AL442" s="25"/>
      <c r="AM442" s="25"/>
    </row>
    <row r="443" ht="14" spans="1:39">
      <c r="A443" s="25"/>
      <c r="B443" s="63"/>
      <c r="C443" s="25"/>
      <c r="D443" s="25"/>
      <c r="E443" s="25"/>
      <c r="F443" s="25"/>
      <c r="G443" s="25"/>
      <c r="H443" s="25"/>
      <c r="I443" s="25"/>
      <c r="J443" s="25"/>
      <c r="K443" s="25"/>
      <c r="L443" s="25"/>
      <c r="M443" s="495"/>
      <c r="N443" s="63"/>
      <c r="O443" s="63"/>
      <c r="P443" s="496"/>
      <c r="Q443" s="497"/>
      <c r="R443" s="63"/>
      <c r="S443" s="498"/>
      <c r="T443" s="63"/>
      <c r="U443" s="63"/>
      <c r="V443" s="499"/>
      <c r="W443" s="499"/>
      <c r="X443" s="63"/>
      <c r="Y443" s="63"/>
      <c r="Z443" s="500"/>
      <c r="AA443" s="63"/>
      <c r="AB443" s="63"/>
      <c r="AC443" s="63"/>
      <c r="AD443" s="63"/>
      <c r="AE443" s="63"/>
      <c r="AF443" s="63"/>
      <c r="AG443" s="63"/>
      <c r="AH443" s="63"/>
      <c r="AI443" s="501"/>
      <c r="AJ443" s="63"/>
      <c r="AK443" s="25"/>
      <c r="AL443" s="25"/>
      <c r="AM443" s="25"/>
    </row>
    <row r="444" ht="14" spans="1:39">
      <c r="A444" s="25"/>
      <c r="B444" s="63"/>
      <c r="C444" s="25"/>
      <c r="D444" s="25"/>
      <c r="E444" s="25"/>
      <c r="F444" s="25"/>
      <c r="G444" s="25"/>
      <c r="H444" s="25"/>
      <c r="I444" s="25"/>
      <c r="J444" s="25"/>
      <c r="K444" s="25"/>
      <c r="L444" s="25"/>
      <c r="M444" s="495"/>
      <c r="N444" s="63"/>
      <c r="O444" s="63"/>
      <c r="P444" s="496"/>
      <c r="Q444" s="497"/>
      <c r="R444" s="63"/>
      <c r="S444" s="498"/>
      <c r="T444" s="63"/>
      <c r="U444" s="63"/>
      <c r="V444" s="499"/>
      <c r="W444" s="499"/>
      <c r="X444" s="63"/>
      <c r="Y444" s="63"/>
      <c r="Z444" s="500"/>
      <c r="AA444" s="63"/>
      <c r="AB444" s="63"/>
      <c r="AC444" s="63"/>
      <c r="AD444" s="63"/>
      <c r="AE444" s="63"/>
      <c r="AF444" s="63"/>
      <c r="AG444" s="63"/>
      <c r="AH444" s="63"/>
      <c r="AI444" s="501"/>
      <c r="AJ444" s="63"/>
      <c r="AK444" s="25"/>
      <c r="AL444" s="25"/>
      <c r="AM444" s="25"/>
    </row>
    <row r="445" ht="14" spans="1:39">
      <c r="A445" s="25"/>
      <c r="B445" s="63"/>
      <c r="C445" s="25"/>
      <c r="D445" s="25"/>
      <c r="E445" s="25"/>
      <c r="F445" s="25"/>
      <c r="G445" s="25"/>
      <c r="H445" s="25"/>
      <c r="I445" s="25"/>
      <c r="J445" s="25"/>
      <c r="K445" s="25"/>
      <c r="L445" s="25"/>
      <c r="M445" s="495"/>
      <c r="N445" s="63"/>
      <c r="O445" s="63"/>
      <c r="P445" s="496"/>
      <c r="Q445" s="497"/>
      <c r="R445" s="63"/>
      <c r="S445" s="498"/>
      <c r="T445" s="63"/>
      <c r="U445" s="63"/>
      <c r="V445" s="499"/>
      <c r="W445" s="499"/>
      <c r="X445" s="63"/>
      <c r="Y445" s="63"/>
      <c r="Z445" s="500"/>
      <c r="AA445" s="63"/>
      <c r="AB445" s="63"/>
      <c r="AC445" s="63"/>
      <c r="AD445" s="63"/>
      <c r="AE445" s="63"/>
      <c r="AF445" s="63"/>
      <c r="AG445" s="63"/>
      <c r="AH445" s="63"/>
      <c r="AI445" s="501"/>
      <c r="AJ445" s="63"/>
      <c r="AK445" s="25"/>
      <c r="AL445" s="25"/>
      <c r="AM445" s="25"/>
    </row>
    <row r="446" ht="14" spans="1:39">
      <c r="A446" s="25"/>
      <c r="B446" s="63"/>
      <c r="C446" s="25"/>
      <c r="D446" s="25"/>
      <c r="E446" s="25"/>
      <c r="F446" s="25"/>
      <c r="G446" s="25"/>
      <c r="H446" s="25"/>
      <c r="I446" s="25"/>
      <c r="J446" s="25"/>
      <c r="K446" s="25"/>
      <c r="L446" s="25"/>
      <c r="M446" s="495"/>
      <c r="N446" s="63"/>
      <c r="O446" s="63"/>
      <c r="P446" s="496"/>
      <c r="Q446" s="497"/>
      <c r="R446" s="63"/>
      <c r="S446" s="498"/>
      <c r="T446" s="63"/>
      <c r="U446" s="63"/>
      <c r="V446" s="499"/>
      <c r="W446" s="499"/>
      <c r="X446" s="63"/>
      <c r="Y446" s="63"/>
      <c r="Z446" s="500"/>
      <c r="AA446" s="63"/>
      <c r="AB446" s="63"/>
      <c r="AC446" s="63"/>
      <c r="AD446" s="63"/>
      <c r="AE446" s="63"/>
      <c r="AF446" s="63"/>
      <c r="AG446" s="63"/>
      <c r="AH446" s="63"/>
      <c r="AI446" s="501"/>
      <c r="AJ446" s="63"/>
      <c r="AK446" s="25"/>
      <c r="AL446" s="25"/>
      <c r="AM446" s="25"/>
    </row>
    <row r="447" ht="14" spans="1:39">
      <c r="A447" s="25"/>
      <c r="B447" s="63"/>
      <c r="C447" s="25"/>
      <c r="D447" s="25"/>
      <c r="E447" s="25"/>
      <c r="F447" s="25"/>
      <c r="G447" s="25"/>
      <c r="H447" s="25"/>
      <c r="I447" s="25"/>
      <c r="J447" s="25"/>
      <c r="K447" s="25"/>
      <c r="L447" s="25"/>
      <c r="M447" s="495"/>
      <c r="N447" s="63"/>
      <c r="O447" s="63"/>
      <c r="P447" s="496"/>
      <c r="Q447" s="497"/>
      <c r="R447" s="63"/>
      <c r="S447" s="498"/>
      <c r="T447" s="63"/>
      <c r="U447" s="63"/>
      <c r="V447" s="499"/>
      <c r="W447" s="499"/>
      <c r="X447" s="63"/>
      <c r="Y447" s="63"/>
      <c r="Z447" s="500"/>
      <c r="AA447" s="63"/>
      <c r="AB447" s="63"/>
      <c r="AC447" s="63"/>
      <c r="AD447" s="63"/>
      <c r="AE447" s="63"/>
      <c r="AF447" s="63"/>
      <c r="AG447" s="63"/>
      <c r="AH447" s="63"/>
      <c r="AI447" s="501"/>
      <c r="AJ447" s="63"/>
      <c r="AK447" s="25"/>
      <c r="AL447" s="25"/>
      <c r="AM447" s="25"/>
    </row>
    <row r="448" ht="14" spans="1:39">
      <c r="A448" s="25"/>
      <c r="B448" s="63"/>
      <c r="C448" s="25"/>
      <c r="D448" s="25"/>
      <c r="E448" s="25"/>
      <c r="F448" s="25"/>
      <c r="G448" s="25"/>
      <c r="H448" s="25"/>
      <c r="I448" s="25"/>
      <c r="J448" s="25"/>
      <c r="K448" s="25"/>
      <c r="L448" s="25"/>
      <c r="M448" s="495"/>
      <c r="N448" s="63"/>
      <c r="O448" s="63"/>
      <c r="P448" s="496"/>
      <c r="Q448" s="497"/>
      <c r="R448" s="63"/>
      <c r="S448" s="498"/>
      <c r="T448" s="63"/>
      <c r="U448" s="63"/>
      <c r="V448" s="499"/>
      <c r="W448" s="499"/>
      <c r="X448" s="63"/>
      <c r="Y448" s="63"/>
      <c r="Z448" s="500"/>
      <c r="AA448" s="63"/>
      <c r="AB448" s="63"/>
      <c r="AC448" s="63"/>
      <c r="AD448" s="63"/>
      <c r="AE448" s="63"/>
      <c r="AF448" s="63"/>
      <c r="AG448" s="63"/>
      <c r="AH448" s="63"/>
      <c r="AI448" s="501"/>
      <c r="AJ448" s="63"/>
      <c r="AK448" s="25"/>
      <c r="AL448" s="25"/>
      <c r="AM448" s="25"/>
    </row>
    <row r="449" ht="14" spans="1:39">
      <c r="A449" s="25"/>
      <c r="B449" s="63"/>
      <c r="C449" s="25"/>
      <c r="D449" s="25"/>
      <c r="E449" s="25"/>
      <c r="F449" s="25"/>
      <c r="G449" s="25"/>
      <c r="H449" s="25"/>
      <c r="I449" s="25"/>
      <c r="J449" s="25"/>
      <c r="K449" s="25"/>
      <c r="L449" s="25"/>
      <c r="M449" s="495"/>
      <c r="N449" s="63"/>
      <c r="O449" s="63"/>
      <c r="P449" s="496"/>
      <c r="Q449" s="497"/>
      <c r="R449" s="63"/>
      <c r="S449" s="498"/>
      <c r="T449" s="63"/>
      <c r="U449" s="63"/>
      <c r="V449" s="499"/>
      <c r="W449" s="499"/>
      <c r="X449" s="63"/>
      <c r="Y449" s="63"/>
      <c r="Z449" s="500"/>
      <c r="AA449" s="63"/>
      <c r="AB449" s="63"/>
      <c r="AC449" s="63"/>
      <c r="AD449" s="63"/>
      <c r="AE449" s="63"/>
      <c r="AF449" s="63"/>
      <c r="AG449" s="63"/>
      <c r="AH449" s="63"/>
      <c r="AI449" s="501"/>
      <c r="AJ449" s="63"/>
      <c r="AK449" s="25"/>
      <c r="AL449" s="25"/>
      <c r="AM449" s="25"/>
    </row>
    <row r="450" ht="14" spans="1:39">
      <c r="A450" s="25"/>
      <c r="B450" s="63"/>
      <c r="C450" s="25"/>
      <c r="D450" s="25"/>
      <c r="E450" s="25"/>
      <c r="F450" s="25"/>
      <c r="G450" s="25"/>
      <c r="H450" s="25"/>
      <c r="I450" s="25"/>
      <c r="J450" s="25"/>
      <c r="K450" s="25"/>
      <c r="L450" s="25"/>
      <c r="M450" s="495"/>
      <c r="N450" s="63"/>
      <c r="O450" s="63"/>
      <c r="P450" s="496"/>
      <c r="Q450" s="497"/>
      <c r="R450" s="63"/>
      <c r="S450" s="498"/>
      <c r="T450" s="63"/>
      <c r="U450" s="63"/>
      <c r="V450" s="499"/>
      <c r="W450" s="499"/>
      <c r="X450" s="63"/>
      <c r="Y450" s="63"/>
      <c r="Z450" s="500"/>
      <c r="AA450" s="63"/>
      <c r="AB450" s="63"/>
      <c r="AC450" s="63"/>
      <c r="AD450" s="63"/>
      <c r="AE450" s="63"/>
      <c r="AF450" s="63"/>
      <c r="AG450" s="63"/>
      <c r="AH450" s="63"/>
      <c r="AI450" s="501"/>
      <c r="AJ450" s="63"/>
      <c r="AK450" s="25"/>
      <c r="AL450" s="25"/>
      <c r="AM450" s="25"/>
    </row>
    <row r="451" ht="14" spans="1:39">
      <c r="A451" s="25"/>
      <c r="B451" s="63"/>
      <c r="C451" s="25"/>
      <c r="D451" s="25"/>
      <c r="E451" s="25"/>
      <c r="F451" s="25"/>
      <c r="G451" s="25"/>
      <c r="H451" s="25"/>
      <c r="I451" s="25"/>
      <c r="J451" s="25"/>
      <c r="K451" s="25"/>
      <c r="L451" s="25"/>
      <c r="M451" s="495"/>
      <c r="N451" s="63"/>
      <c r="O451" s="63"/>
      <c r="P451" s="496"/>
      <c r="Q451" s="497"/>
      <c r="R451" s="63"/>
      <c r="S451" s="498"/>
      <c r="T451" s="63"/>
      <c r="U451" s="63"/>
      <c r="V451" s="499"/>
      <c r="W451" s="499"/>
      <c r="X451" s="63"/>
      <c r="Y451" s="63"/>
      <c r="Z451" s="500"/>
      <c r="AA451" s="63"/>
      <c r="AB451" s="63"/>
      <c r="AC451" s="63"/>
      <c r="AD451" s="63"/>
      <c r="AE451" s="63"/>
      <c r="AF451" s="63"/>
      <c r="AG451" s="63"/>
      <c r="AH451" s="63"/>
      <c r="AI451" s="501"/>
      <c r="AJ451" s="63"/>
      <c r="AK451" s="25"/>
      <c r="AL451" s="25"/>
      <c r="AM451" s="25"/>
    </row>
    <row r="452" ht="14" spans="1:39">
      <c r="A452" s="25"/>
      <c r="B452" s="63"/>
      <c r="C452" s="25"/>
      <c r="D452" s="25"/>
      <c r="E452" s="25"/>
      <c r="F452" s="25"/>
      <c r="G452" s="25"/>
      <c r="H452" s="25"/>
      <c r="I452" s="25"/>
      <c r="J452" s="25"/>
      <c r="K452" s="25"/>
      <c r="L452" s="25"/>
      <c r="M452" s="495"/>
      <c r="N452" s="63"/>
      <c r="O452" s="63"/>
      <c r="P452" s="496"/>
      <c r="Q452" s="497"/>
      <c r="R452" s="63"/>
      <c r="S452" s="498"/>
      <c r="T452" s="63"/>
      <c r="U452" s="63"/>
      <c r="V452" s="499"/>
      <c r="W452" s="499"/>
      <c r="X452" s="63"/>
      <c r="Y452" s="63"/>
      <c r="Z452" s="500"/>
      <c r="AA452" s="63"/>
      <c r="AB452" s="63"/>
      <c r="AC452" s="63"/>
      <c r="AD452" s="63"/>
      <c r="AE452" s="63"/>
      <c r="AF452" s="63"/>
      <c r="AG452" s="63"/>
      <c r="AH452" s="63"/>
      <c r="AI452" s="501"/>
      <c r="AJ452" s="63"/>
      <c r="AK452" s="25"/>
      <c r="AL452" s="25"/>
      <c r="AM452" s="25"/>
    </row>
    <row r="453" ht="14" spans="1:39">
      <c r="A453" s="25"/>
      <c r="B453" s="63"/>
      <c r="C453" s="25"/>
      <c r="D453" s="25"/>
      <c r="E453" s="25"/>
      <c r="F453" s="25"/>
      <c r="G453" s="25"/>
      <c r="H453" s="25"/>
      <c r="I453" s="25"/>
      <c r="J453" s="25"/>
      <c r="K453" s="25"/>
      <c r="L453" s="25"/>
      <c r="M453" s="495"/>
      <c r="N453" s="63"/>
      <c r="O453" s="63"/>
      <c r="P453" s="496"/>
      <c r="Q453" s="497"/>
      <c r="R453" s="63"/>
      <c r="S453" s="498"/>
      <c r="T453" s="63"/>
      <c r="U453" s="63"/>
      <c r="V453" s="499"/>
      <c r="W453" s="499"/>
      <c r="X453" s="63"/>
      <c r="Y453" s="63"/>
      <c r="Z453" s="500"/>
      <c r="AA453" s="63"/>
      <c r="AB453" s="63"/>
      <c r="AC453" s="63"/>
      <c r="AD453" s="63"/>
      <c r="AE453" s="63"/>
      <c r="AF453" s="63"/>
      <c r="AG453" s="63"/>
      <c r="AH453" s="63"/>
      <c r="AI453" s="501"/>
      <c r="AJ453" s="63"/>
      <c r="AK453" s="25"/>
      <c r="AL453" s="25"/>
      <c r="AM453" s="25"/>
    </row>
    <row r="454" ht="14" spans="1:39">
      <c r="A454" s="25"/>
      <c r="B454" s="63"/>
      <c r="C454" s="25"/>
      <c r="D454" s="25"/>
      <c r="E454" s="25"/>
      <c r="F454" s="25"/>
      <c r="G454" s="25"/>
      <c r="H454" s="25"/>
      <c r="I454" s="25"/>
      <c r="J454" s="25"/>
      <c r="K454" s="25"/>
      <c r="L454" s="25"/>
      <c r="M454" s="495"/>
      <c r="N454" s="63"/>
      <c r="O454" s="63"/>
      <c r="P454" s="496"/>
      <c r="Q454" s="497"/>
      <c r="R454" s="63"/>
      <c r="S454" s="498"/>
      <c r="T454" s="63"/>
      <c r="U454" s="63"/>
      <c r="V454" s="499"/>
      <c r="W454" s="499"/>
      <c r="X454" s="63"/>
      <c r="Y454" s="63"/>
      <c r="Z454" s="500"/>
      <c r="AA454" s="63"/>
      <c r="AB454" s="63"/>
      <c r="AC454" s="63"/>
      <c r="AD454" s="63"/>
      <c r="AE454" s="63"/>
      <c r="AF454" s="63"/>
      <c r="AG454" s="63"/>
      <c r="AH454" s="63"/>
      <c r="AI454" s="501"/>
      <c r="AJ454" s="63"/>
      <c r="AK454" s="25"/>
      <c r="AL454" s="25"/>
      <c r="AM454" s="25"/>
    </row>
    <row r="455" ht="14" spans="1:39">
      <c r="A455" s="25"/>
      <c r="B455" s="63"/>
      <c r="C455" s="25"/>
      <c r="D455" s="25"/>
      <c r="E455" s="25"/>
      <c r="F455" s="25"/>
      <c r="G455" s="25"/>
      <c r="H455" s="25"/>
      <c r="I455" s="25"/>
      <c r="J455" s="25"/>
      <c r="K455" s="25"/>
      <c r="L455" s="25"/>
      <c r="M455" s="495"/>
      <c r="N455" s="63"/>
      <c r="O455" s="63"/>
      <c r="P455" s="496"/>
      <c r="Q455" s="497"/>
      <c r="R455" s="63"/>
      <c r="S455" s="498"/>
      <c r="T455" s="63"/>
      <c r="U455" s="63"/>
      <c r="V455" s="499"/>
      <c r="W455" s="499"/>
      <c r="X455" s="63"/>
      <c r="Y455" s="63"/>
      <c r="Z455" s="500"/>
      <c r="AA455" s="63"/>
      <c r="AB455" s="63"/>
      <c r="AC455" s="63"/>
      <c r="AD455" s="63"/>
      <c r="AE455" s="63"/>
      <c r="AF455" s="63"/>
      <c r="AG455" s="63"/>
      <c r="AH455" s="63"/>
      <c r="AI455" s="501"/>
      <c r="AJ455" s="63"/>
      <c r="AK455" s="25"/>
      <c r="AL455" s="25"/>
      <c r="AM455" s="25"/>
    </row>
    <row r="456" ht="14" spans="1:39">
      <c r="A456" s="25"/>
      <c r="B456" s="63"/>
      <c r="C456" s="25"/>
      <c r="D456" s="25"/>
      <c r="E456" s="25"/>
      <c r="F456" s="25"/>
      <c r="G456" s="25"/>
      <c r="H456" s="25"/>
      <c r="I456" s="25"/>
      <c r="J456" s="25"/>
      <c r="K456" s="25"/>
      <c r="L456" s="25"/>
      <c r="M456" s="495"/>
      <c r="N456" s="63"/>
      <c r="O456" s="63"/>
      <c r="P456" s="496"/>
      <c r="Q456" s="497"/>
      <c r="R456" s="63"/>
      <c r="S456" s="498"/>
      <c r="T456" s="63"/>
      <c r="U456" s="63"/>
      <c r="V456" s="499"/>
      <c r="W456" s="499"/>
      <c r="X456" s="63"/>
      <c r="Y456" s="63"/>
      <c r="Z456" s="500"/>
      <c r="AA456" s="63"/>
      <c r="AB456" s="63"/>
      <c r="AC456" s="63"/>
      <c r="AD456" s="63"/>
      <c r="AE456" s="63"/>
      <c r="AF456" s="63"/>
      <c r="AG456" s="63"/>
      <c r="AH456" s="63"/>
      <c r="AI456" s="501"/>
      <c r="AJ456" s="63"/>
      <c r="AK456" s="25"/>
      <c r="AL456" s="25"/>
      <c r="AM456" s="25"/>
    </row>
    <row r="457" ht="14" spans="1:39">
      <c r="A457" s="25"/>
      <c r="B457" s="63"/>
      <c r="C457" s="25"/>
      <c r="D457" s="25"/>
      <c r="E457" s="25"/>
      <c r="F457" s="25"/>
      <c r="G457" s="25"/>
      <c r="H457" s="25"/>
      <c r="I457" s="25"/>
      <c r="J457" s="25"/>
      <c r="K457" s="25"/>
      <c r="L457" s="25"/>
      <c r="M457" s="495"/>
      <c r="N457" s="63"/>
      <c r="O457" s="63"/>
      <c r="P457" s="496"/>
      <c r="Q457" s="497"/>
      <c r="R457" s="63"/>
      <c r="S457" s="498"/>
      <c r="T457" s="63"/>
      <c r="U457" s="63"/>
      <c r="V457" s="499"/>
      <c r="W457" s="499"/>
      <c r="X457" s="63"/>
      <c r="Y457" s="63"/>
      <c r="Z457" s="500"/>
      <c r="AA457" s="63"/>
      <c r="AB457" s="63"/>
      <c r="AC457" s="63"/>
      <c r="AD457" s="63"/>
      <c r="AE457" s="63"/>
      <c r="AF457" s="63"/>
      <c r="AG457" s="63"/>
      <c r="AH457" s="63"/>
      <c r="AI457" s="501"/>
      <c r="AJ457" s="63"/>
      <c r="AK457" s="25"/>
      <c r="AL457" s="25"/>
      <c r="AM457" s="25"/>
    </row>
    <row r="458" ht="14" spans="1:39">
      <c r="A458" s="25"/>
      <c r="B458" s="63"/>
      <c r="C458" s="25"/>
      <c r="D458" s="25"/>
      <c r="E458" s="25"/>
      <c r="F458" s="25"/>
      <c r="G458" s="25"/>
      <c r="H458" s="25"/>
      <c r="I458" s="25"/>
      <c r="J458" s="25"/>
      <c r="K458" s="25"/>
      <c r="L458" s="25"/>
      <c r="M458" s="495"/>
      <c r="N458" s="63"/>
      <c r="O458" s="63"/>
      <c r="P458" s="496"/>
      <c r="Q458" s="497"/>
      <c r="R458" s="63"/>
      <c r="S458" s="498"/>
      <c r="T458" s="63"/>
      <c r="U458" s="63"/>
      <c r="V458" s="499"/>
      <c r="W458" s="499"/>
      <c r="X458" s="63"/>
      <c r="Y458" s="63"/>
      <c r="Z458" s="500"/>
      <c r="AA458" s="63"/>
      <c r="AB458" s="63"/>
      <c r="AC458" s="63"/>
      <c r="AD458" s="63"/>
      <c r="AE458" s="63"/>
      <c r="AF458" s="63"/>
      <c r="AG458" s="63"/>
      <c r="AH458" s="63"/>
      <c r="AI458" s="501"/>
      <c r="AJ458" s="63"/>
      <c r="AK458" s="25"/>
      <c r="AL458" s="25"/>
      <c r="AM458" s="25"/>
    </row>
    <row r="459" ht="14" spans="1:39">
      <c r="A459" s="25"/>
      <c r="B459" s="63"/>
      <c r="C459" s="25"/>
      <c r="D459" s="25"/>
      <c r="E459" s="25"/>
      <c r="F459" s="25"/>
      <c r="G459" s="25"/>
      <c r="H459" s="25"/>
      <c r="I459" s="25"/>
      <c r="J459" s="25"/>
      <c r="K459" s="25"/>
      <c r="L459" s="25"/>
      <c r="M459" s="495"/>
      <c r="N459" s="63"/>
      <c r="O459" s="63"/>
      <c r="P459" s="496"/>
      <c r="Q459" s="497"/>
      <c r="R459" s="63"/>
      <c r="S459" s="498"/>
      <c r="T459" s="63"/>
      <c r="U459" s="63"/>
      <c r="V459" s="499"/>
      <c r="W459" s="499"/>
      <c r="X459" s="63"/>
      <c r="Y459" s="63"/>
      <c r="Z459" s="500"/>
      <c r="AA459" s="63"/>
      <c r="AB459" s="63"/>
      <c r="AC459" s="63"/>
      <c r="AD459" s="63"/>
      <c r="AE459" s="63"/>
      <c r="AF459" s="63"/>
      <c r="AG459" s="63"/>
      <c r="AH459" s="63"/>
      <c r="AI459" s="501"/>
      <c r="AJ459" s="63"/>
      <c r="AK459" s="25"/>
      <c r="AL459" s="25"/>
      <c r="AM459" s="25"/>
    </row>
    <row r="460" ht="14" spans="1:39">
      <c r="A460" s="25"/>
      <c r="B460" s="63"/>
      <c r="C460" s="25"/>
      <c r="D460" s="25"/>
      <c r="E460" s="25"/>
      <c r="F460" s="25"/>
      <c r="G460" s="25"/>
      <c r="H460" s="25"/>
      <c r="I460" s="25"/>
      <c r="J460" s="25"/>
      <c r="K460" s="25"/>
      <c r="L460" s="25"/>
      <c r="M460" s="495"/>
      <c r="N460" s="63"/>
      <c r="O460" s="63"/>
      <c r="P460" s="496"/>
      <c r="Q460" s="497"/>
      <c r="R460" s="63"/>
      <c r="S460" s="498"/>
      <c r="T460" s="63"/>
      <c r="U460" s="63"/>
      <c r="V460" s="499"/>
      <c r="W460" s="499"/>
      <c r="X460" s="63"/>
      <c r="Y460" s="63"/>
      <c r="Z460" s="500"/>
      <c r="AA460" s="63"/>
      <c r="AB460" s="63"/>
      <c r="AC460" s="63"/>
      <c r="AD460" s="63"/>
      <c r="AE460" s="63"/>
      <c r="AF460" s="63"/>
      <c r="AG460" s="63"/>
      <c r="AH460" s="63"/>
      <c r="AI460" s="501"/>
      <c r="AJ460" s="63"/>
      <c r="AK460" s="25"/>
      <c r="AL460" s="25"/>
      <c r="AM460" s="25"/>
    </row>
    <row r="461" ht="14" spans="1:39">
      <c r="A461" s="25"/>
      <c r="B461" s="63"/>
      <c r="C461" s="25"/>
      <c r="D461" s="25"/>
      <c r="E461" s="25"/>
      <c r="F461" s="25"/>
      <c r="G461" s="25"/>
      <c r="H461" s="25"/>
      <c r="I461" s="25"/>
      <c r="J461" s="25"/>
      <c r="K461" s="25"/>
      <c r="L461" s="25"/>
      <c r="M461" s="495"/>
      <c r="N461" s="63"/>
      <c r="O461" s="63"/>
      <c r="P461" s="496"/>
      <c r="Q461" s="497"/>
      <c r="R461" s="63"/>
      <c r="S461" s="498"/>
      <c r="T461" s="63"/>
      <c r="U461" s="63"/>
      <c r="V461" s="499"/>
      <c r="W461" s="499"/>
      <c r="X461" s="63"/>
      <c r="Y461" s="63"/>
      <c r="Z461" s="500"/>
      <c r="AA461" s="63"/>
      <c r="AB461" s="63"/>
      <c r="AC461" s="63"/>
      <c r="AD461" s="63"/>
      <c r="AE461" s="63"/>
      <c r="AF461" s="63"/>
      <c r="AG461" s="63"/>
      <c r="AH461" s="63"/>
      <c r="AI461" s="501"/>
      <c r="AJ461" s="63"/>
      <c r="AK461" s="25"/>
      <c r="AL461" s="25"/>
      <c r="AM461" s="25"/>
    </row>
    <row r="462" ht="14" spans="1:39">
      <c r="A462" s="25"/>
      <c r="B462" s="63"/>
      <c r="C462" s="25"/>
      <c r="D462" s="25"/>
      <c r="E462" s="25"/>
      <c r="F462" s="25"/>
      <c r="G462" s="25"/>
      <c r="H462" s="25"/>
      <c r="I462" s="25"/>
      <c r="J462" s="25"/>
      <c r="K462" s="25"/>
      <c r="L462" s="25"/>
      <c r="M462" s="495"/>
      <c r="N462" s="63"/>
      <c r="O462" s="63"/>
      <c r="P462" s="496"/>
      <c r="Q462" s="497"/>
      <c r="R462" s="63"/>
      <c r="S462" s="498"/>
      <c r="T462" s="63"/>
      <c r="U462" s="63"/>
      <c r="V462" s="499"/>
      <c r="W462" s="499"/>
      <c r="X462" s="63"/>
      <c r="Y462" s="63"/>
      <c r="Z462" s="500"/>
      <c r="AA462" s="63"/>
      <c r="AB462" s="63"/>
      <c r="AC462" s="63"/>
      <c r="AD462" s="63"/>
      <c r="AE462" s="63"/>
      <c r="AF462" s="63"/>
      <c r="AG462" s="63"/>
      <c r="AH462" s="63"/>
      <c r="AI462" s="501"/>
      <c r="AJ462" s="63"/>
      <c r="AK462" s="25"/>
      <c r="AL462" s="25"/>
      <c r="AM462" s="25"/>
    </row>
    <row r="463" ht="14" spans="1:39">
      <c r="A463" s="25"/>
      <c r="B463" s="63"/>
      <c r="C463" s="25"/>
      <c r="D463" s="25"/>
      <c r="E463" s="25"/>
      <c r="F463" s="25"/>
      <c r="G463" s="25"/>
      <c r="H463" s="25"/>
      <c r="I463" s="25"/>
      <c r="J463" s="25"/>
      <c r="K463" s="25"/>
      <c r="L463" s="25"/>
      <c r="M463" s="495"/>
      <c r="N463" s="63"/>
      <c r="O463" s="63"/>
      <c r="P463" s="496"/>
      <c r="Q463" s="497"/>
      <c r="R463" s="63"/>
      <c r="S463" s="498"/>
      <c r="T463" s="63"/>
      <c r="U463" s="63"/>
      <c r="V463" s="499"/>
      <c r="W463" s="499"/>
      <c r="X463" s="63"/>
      <c r="Y463" s="63"/>
      <c r="Z463" s="500"/>
      <c r="AA463" s="63"/>
      <c r="AB463" s="63"/>
      <c r="AC463" s="63"/>
      <c r="AD463" s="63"/>
      <c r="AE463" s="63"/>
      <c r="AF463" s="63"/>
      <c r="AG463" s="63"/>
      <c r="AH463" s="63"/>
      <c r="AI463" s="501"/>
      <c r="AJ463" s="63"/>
      <c r="AK463" s="25"/>
      <c r="AL463" s="25"/>
      <c r="AM463" s="25"/>
    </row>
    <row r="464" ht="14" spans="1:39">
      <c r="A464" s="25"/>
      <c r="B464" s="63"/>
      <c r="C464" s="25"/>
      <c r="D464" s="25"/>
      <c r="E464" s="25"/>
      <c r="F464" s="25"/>
      <c r="G464" s="25"/>
      <c r="H464" s="25"/>
      <c r="I464" s="25"/>
      <c r="J464" s="25"/>
      <c r="K464" s="25"/>
      <c r="L464" s="25"/>
      <c r="M464" s="495"/>
      <c r="N464" s="63"/>
      <c r="O464" s="63"/>
      <c r="P464" s="496"/>
      <c r="Q464" s="497"/>
      <c r="R464" s="63"/>
      <c r="S464" s="498"/>
      <c r="T464" s="63"/>
      <c r="U464" s="63"/>
      <c r="V464" s="499"/>
      <c r="W464" s="499"/>
      <c r="X464" s="63"/>
      <c r="Y464" s="63"/>
      <c r="Z464" s="500"/>
      <c r="AA464" s="63"/>
      <c r="AB464" s="63"/>
      <c r="AC464" s="63"/>
      <c r="AD464" s="63"/>
      <c r="AE464" s="63"/>
      <c r="AF464" s="63"/>
      <c r="AG464" s="63"/>
      <c r="AH464" s="63"/>
      <c r="AI464" s="501"/>
      <c r="AJ464" s="63"/>
      <c r="AK464" s="25"/>
      <c r="AL464" s="25"/>
      <c r="AM464" s="25"/>
    </row>
    <row r="465" ht="14" spans="1:39">
      <c r="A465" s="25"/>
      <c r="B465" s="63"/>
      <c r="C465" s="25"/>
      <c r="D465" s="25"/>
      <c r="E465" s="25"/>
      <c r="F465" s="25"/>
      <c r="G465" s="25"/>
      <c r="H465" s="25"/>
      <c r="I465" s="25"/>
      <c r="J465" s="25"/>
      <c r="K465" s="25"/>
      <c r="L465" s="25"/>
      <c r="M465" s="495"/>
      <c r="N465" s="63"/>
      <c r="O465" s="63"/>
      <c r="P465" s="496"/>
      <c r="Q465" s="497"/>
      <c r="R465" s="63"/>
      <c r="S465" s="498"/>
      <c r="T465" s="63"/>
      <c r="U465" s="63"/>
      <c r="V465" s="499"/>
      <c r="W465" s="499"/>
      <c r="X465" s="63"/>
      <c r="Y465" s="63"/>
      <c r="Z465" s="500"/>
      <c r="AA465" s="63"/>
      <c r="AB465" s="63"/>
      <c r="AC465" s="63"/>
      <c r="AD465" s="63"/>
      <c r="AE465" s="63"/>
      <c r="AF465" s="63"/>
      <c r="AG465" s="63"/>
      <c r="AH465" s="63"/>
      <c r="AI465" s="501"/>
      <c r="AJ465" s="63"/>
      <c r="AK465" s="25"/>
      <c r="AL465" s="25"/>
      <c r="AM465" s="25"/>
    </row>
    <row r="466" ht="14" spans="1:39">
      <c r="A466" s="25"/>
      <c r="B466" s="63"/>
      <c r="C466" s="25"/>
      <c r="D466" s="25"/>
      <c r="E466" s="25"/>
      <c r="F466" s="25"/>
      <c r="G466" s="25"/>
      <c r="H466" s="25"/>
      <c r="I466" s="25"/>
      <c r="J466" s="25"/>
      <c r="K466" s="25"/>
      <c r="L466" s="25"/>
      <c r="M466" s="495"/>
      <c r="N466" s="63"/>
      <c r="O466" s="63"/>
      <c r="P466" s="496"/>
      <c r="Q466" s="497"/>
      <c r="R466" s="63"/>
      <c r="S466" s="498"/>
      <c r="T466" s="63"/>
      <c r="U466" s="63"/>
      <c r="V466" s="499"/>
      <c r="W466" s="499"/>
      <c r="X466" s="63"/>
      <c r="Y466" s="63"/>
      <c r="Z466" s="500"/>
      <c r="AA466" s="63"/>
      <c r="AB466" s="63"/>
      <c r="AC466" s="63"/>
      <c r="AD466" s="63"/>
      <c r="AE466" s="63"/>
      <c r="AF466" s="63"/>
      <c r="AG466" s="63"/>
      <c r="AH466" s="63"/>
      <c r="AI466" s="501"/>
      <c r="AJ466" s="63"/>
      <c r="AK466" s="25"/>
      <c r="AL466" s="25"/>
      <c r="AM466" s="25"/>
    </row>
    <row r="467" ht="14" spans="1:39">
      <c r="A467" s="25"/>
      <c r="B467" s="63"/>
      <c r="C467" s="25"/>
      <c r="D467" s="25"/>
      <c r="E467" s="25"/>
      <c r="F467" s="25"/>
      <c r="G467" s="25"/>
      <c r="H467" s="25"/>
      <c r="I467" s="25"/>
      <c r="J467" s="25"/>
      <c r="K467" s="25"/>
      <c r="L467" s="25"/>
      <c r="M467" s="495"/>
      <c r="N467" s="63"/>
      <c r="O467" s="63"/>
      <c r="P467" s="496"/>
      <c r="Q467" s="497"/>
      <c r="R467" s="63"/>
      <c r="S467" s="498"/>
      <c r="T467" s="63"/>
      <c r="U467" s="63"/>
      <c r="V467" s="499"/>
      <c r="W467" s="499"/>
      <c r="X467" s="63"/>
      <c r="Y467" s="63"/>
      <c r="Z467" s="500"/>
      <c r="AA467" s="63"/>
      <c r="AB467" s="63"/>
      <c r="AC467" s="63"/>
      <c r="AD467" s="63"/>
      <c r="AE467" s="63"/>
      <c r="AF467" s="63"/>
      <c r="AG467" s="63"/>
      <c r="AH467" s="63"/>
      <c r="AI467" s="501"/>
      <c r="AJ467" s="63"/>
      <c r="AK467" s="25"/>
      <c r="AL467" s="25"/>
      <c r="AM467" s="25"/>
    </row>
    <row r="468" ht="14" spans="1:39">
      <c r="A468" s="25"/>
      <c r="B468" s="63"/>
      <c r="C468" s="25"/>
      <c r="D468" s="25"/>
      <c r="E468" s="25"/>
      <c r="F468" s="25"/>
      <c r="G468" s="25"/>
      <c r="H468" s="25"/>
      <c r="I468" s="25"/>
      <c r="J468" s="25"/>
      <c r="K468" s="25"/>
      <c r="L468" s="25"/>
      <c r="M468" s="495"/>
      <c r="N468" s="63"/>
      <c r="O468" s="63"/>
      <c r="P468" s="496"/>
      <c r="Q468" s="497"/>
      <c r="R468" s="63"/>
      <c r="S468" s="498"/>
      <c r="T468" s="63"/>
      <c r="U468" s="63"/>
      <c r="V468" s="499"/>
      <c r="W468" s="499"/>
      <c r="X468" s="63"/>
      <c r="Y468" s="63"/>
      <c r="Z468" s="500"/>
      <c r="AA468" s="63"/>
      <c r="AB468" s="63"/>
      <c r="AC468" s="63"/>
      <c r="AD468" s="63"/>
      <c r="AE468" s="63"/>
      <c r="AF468" s="63"/>
      <c r="AG468" s="63"/>
      <c r="AH468" s="63"/>
      <c r="AI468" s="501"/>
      <c r="AJ468" s="63"/>
      <c r="AK468" s="25"/>
      <c r="AL468" s="25"/>
      <c r="AM468" s="25"/>
    </row>
    <row r="469" ht="14" spans="1:39">
      <c r="A469" s="25"/>
      <c r="B469" s="63"/>
      <c r="C469" s="25"/>
      <c r="D469" s="25"/>
      <c r="E469" s="25"/>
      <c r="F469" s="25"/>
      <c r="G469" s="25"/>
      <c r="H469" s="25"/>
      <c r="I469" s="25"/>
      <c r="J469" s="25"/>
      <c r="K469" s="25"/>
      <c r="L469" s="25"/>
      <c r="M469" s="495"/>
      <c r="N469" s="63"/>
      <c r="O469" s="63"/>
      <c r="P469" s="496"/>
      <c r="Q469" s="497"/>
      <c r="R469" s="63"/>
      <c r="S469" s="498"/>
      <c r="T469" s="63"/>
      <c r="U469" s="63"/>
      <c r="V469" s="499"/>
      <c r="W469" s="499"/>
      <c r="X469" s="63"/>
      <c r="Y469" s="63"/>
      <c r="Z469" s="500"/>
      <c r="AA469" s="63"/>
      <c r="AB469" s="63"/>
      <c r="AC469" s="63"/>
      <c r="AD469" s="63"/>
      <c r="AE469" s="63"/>
      <c r="AF469" s="63"/>
      <c r="AG469" s="63"/>
      <c r="AH469" s="63"/>
      <c r="AI469" s="501"/>
      <c r="AJ469" s="63"/>
      <c r="AK469" s="25"/>
      <c r="AL469" s="25"/>
      <c r="AM469" s="25"/>
    </row>
    <row r="470" ht="14" spans="1:39">
      <c r="A470" s="25"/>
      <c r="B470" s="63"/>
      <c r="C470" s="25"/>
      <c r="D470" s="25"/>
      <c r="E470" s="25"/>
      <c r="F470" s="25"/>
      <c r="G470" s="25"/>
      <c r="H470" s="25"/>
      <c r="I470" s="25"/>
      <c r="J470" s="25"/>
      <c r="K470" s="25"/>
      <c r="L470" s="25"/>
      <c r="M470" s="495"/>
      <c r="N470" s="63"/>
      <c r="O470" s="63"/>
      <c r="P470" s="496"/>
      <c r="Q470" s="497"/>
      <c r="R470" s="63"/>
      <c r="S470" s="498"/>
      <c r="T470" s="63"/>
      <c r="U470" s="63"/>
      <c r="V470" s="499"/>
      <c r="W470" s="499"/>
      <c r="X470" s="63"/>
      <c r="Y470" s="63"/>
      <c r="Z470" s="500"/>
      <c r="AA470" s="63"/>
      <c r="AB470" s="63"/>
      <c r="AC470" s="63"/>
      <c r="AD470" s="63"/>
      <c r="AE470" s="63"/>
      <c r="AF470" s="63"/>
      <c r="AG470" s="63"/>
      <c r="AH470" s="63"/>
      <c r="AI470" s="501"/>
      <c r="AJ470" s="63"/>
      <c r="AK470" s="25"/>
      <c r="AL470" s="25"/>
      <c r="AM470" s="25"/>
    </row>
    <row r="471" ht="14" spans="1:39">
      <c r="A471" s="25"/>
      <c r="B471" s="63"/>
      <c r="C471" s="25"/>
      <c r="D471" s="25"/>
      <c r="E471" s="25"/>
      <c r="F471" s="25"/>
      <c r="G471" s="25"/>
      <c r="H471" s="25"/>
      <c r="I471" s="25"/>
      <c r="J471" s="25"/>
      <c r="K471" s="25"/>
      <c r="L471" s="25"/>
      <c r="M471" s="495"/>
      <c r="N471" s="63"/>
      <c r="O471" s="63"/>
      <c r="P471" s="496"/>
      <c r="Q471" s="497"/>
      <c r="R471" s="63"/>
      <c r="S471" s="498"/>
      <c r="T471" s="63"/>
      <c r="U471" s="63"/>
      <c r="V471" s="499"/>
      <c r="W471" s="499"/>
      <c r="X471" s="63"/>
      <c r="Y471" s="63"/>
      <c r="Z471" s="500"/>
      <c r="AA471" s="63"/>
      <c r="AB471" s="63"/>
      <c r="AC471" s="63"/>
      <c r="AD471" s="63"/>
      <c r="AE471" s="63"/>
      <c r="AF471" s="63"/>
      <c r="AG471" s="63"/>
      <c r="AH471" s="63"/>
      <c r="AI471" s="501"/>
      <c r="AJ471" s="63"/>
      <c r="AK471" s="25"/>
      <c r="AL471" s="25"/>
      <c r="AM471" s="25"/>
    </row>
    <row r="472" ht="14" spans="1:39">
      <c r="A472" s="25"/>
      <c r="B472" s="63"/>
      <c r="C472" s="25"/>
      <c r="D472" s="25"/>
      <c r="E472" s="25"/>
      <c r="F472" s="25"/>
      <c r="G472" s="25"/>
      <c r="H472" s="25"/>
      <c r="I472" s="25"/>
      <c r="J472" s="25"/>
      <c r="K472" s="25"/>
      <c r="L472" s="25"/>
      <c r="M472" s="495"/>
      <c r="N472" s="63"/>
      <c r="O472" s="63"/>
      <c r="P472" s="496"/>
      <c r="Q472" s="497"/>
      <c r="R472" s="63"/>
      <c r="S472" s="498"/>
      <c r="T472" s="63"/>
      <c r="U472" s="63"/>
      <c r="V472" s="499"/>
      <c r="W472" s="499"/>
      <c r="X472" s="63"/>
      <c r="Y472" s="63"/>
      <c r="Z472" s="500"/>
      <c r="AA472" s="63"/>
      <c r="AB472" s="63"/>
      <c r="AC472" s="63"/>
      <c r="AD472" s="63"/>
      <c r="AE472" s="63"/>
      <c r="AF472" s="63"/>
      <c r="AG472" s="63"/>
      <c r="AH472" s="63"/>
      <c r="AI472" s="501"/>
      <c r="AJ472" s="63"/>
      <c r="AK472" s="25"/>
      <c r="AL472" s="25"/>
      <c r="AM472" s="25"/>
    </row>
    <row r="473" ht="14" spans="1:39">
      <c r="A473" s="25"/>
      <c r="B473" s="63"/>
      <c r="C473" s="25"/>
      <c r="D473" s="25"/>
      <c r="E473" s="25"/>
      <c r="F473" s="25"/>
      <c r="G473" s="25"/>
      <c r="H473" s="25"/>
      <c r="I473" s="25"/>
      <c r="J473" s="25"/>
      <c r="K473" s="25"/>
      <c r="L473" s="25"/>
      <c r="M473" s="495"/>
      <c r="N473" s="63"/>
      <c r="O473" s="63"/>
      <c r="P473" s="496"/>
      <c r="Q473" s="497"/>
      <c r="R473" s="63"/>
      <c r="S473" s="498"/>
      <c r="T473" s="63"/>
      <c r="U473" s="63"/>
      <c r="V473" s="499"/>
      <c r="W473" s="499"/>
      <c r="X473" s="63"/>
      <c r="Y473" s="63"/>
      <c r="Z473" s="500"/>
      <c r="AA473" s="63"/>
      <c r="AB473" s="63"/>
      <c r="AC473" s="63"/>
      <c r="AD473" s="63"/>
      <c r="AE473" s="63"/>
      <c r="AF473" s="63"/>
      <c r="AG473" s="63"/>
      <c r="AH473" s="63"/>
      <c r="AI473" s="501"/>
      <c r="AJ473" s="63"/>
      <c r="AK473" s="25"/>
      <c r="AL473" s="25"/>
      <c r="AM473" s="25"/>
    </row>
    <row r="474" ht="14" spans="1:39">
      <c r="A474" s="25"/>
      <c r="B474" s="63"/>
      <c r="C474" s="25"/>
      <c r="D474" s="25"/>
      <c r="E474" s="25"/>
      <c r="F474" s="25"/>
      <c r="G474" s="25"/>
      <c r="H474" s="25"/>
      <c r="I474" s="25"/>
      <c r="J474" s="25"/>
      <c r="K474" s="25"/>
      <c r="L474" s="25"/>
      <c r="M474" s="495"/>
      <c r="N474" s="63"/>
      <c r="O474" s="63"/>
      <c r="P474" s="496"/>
      <c r="Q474" s="497"/>
      <c r="R474" s="63"/>
      <c r="S474" s="498"/>
      <c r="T474" s="63"/>
      <c r="U474" s="63"/>
      <c r="V474" s="499"/>
      <c r="W474" s="499"/>
      <c r="X474" s="63"/>
      <c r="Y474" s="63"/>
      <c r="Z474" s="500"/>
      <c r="AA474" s="63"/>
      <c r="AB474" s="63"/>
      <c r="AC474" s="63"/>
      <c r="AD474" s="63"/>
      <c r="AE474" s="63"/>
      <c r="AF474" s="63"/>
      <c r="AG474" s="63"/>
      <c r="AH474" s="63"/>
      <c r="AI474" s="501"/>
      <c r="AJ474" s="63"/>
      <c r="AK474" s="25"/>
      <c r="AL474" s="25"/>
      <c r="AM474" s="25"/>
    </row>
    <row r="475" ht="14" spans="1:39">
      <c r="A475" s="25"/>
      <c r="B475" s="63"/>
      <c r="C475" s="25"/>
      <c r="D475" s="25"/>
      <c r="E475" s="25"/>
      <c r="F475" s="25"/>
      <c r="G475" s="25"/>
      <c r="H475" s="25"/>
      <c r="I475" s="25"/>
      <c r="J475" s="25"/>
      <c r="K475" s="25"/>
      <c r="L475" s="25"/>
      <c r="M475" s="495"/>
      <c r="N475" s="63"/>
      <c r="O475" s="63"/>
      <c r="P475" s="496"/>
      <c r="Q475" s="497"/>
      <c r="R475" s="63"/>
      <c r="S475" s="498"/>
      <c r="T475" s="63"/>
      <c r="U475" s="63"/>
      <c r="V475" s="499"/>
      <c r="W475" s="499"/>
      <c r="X475" s="63"/>
      <c r="Y475" s="63"/>
      <c r="Z475" s="500"/>
      <c r="AA475" s="63"/>
      <c r="AB475" s="63"/>
      <c r="AC475" s="63"/>
      <c r="AD475" s="63"/>
      <c r="AE475" s="63"/>
      <c r="AF475" s="63"/>
      <c r="AG475" s="63"/>
      <c r="AH475" s="63"/>
      <c r="AI475" s="501"/>
      <c r="AJ475" s="63"/>
      <c r="AK475" s="25"/>
      <c r="AL475" s="25"/>
      <c r="AM475" s="25"/>
    </row>
    <row r="476" ht="14" spans="1:39">
      <c r="A476" s="25"/>
      <c r="B476" s="63"/>
      <c r="C476" s="25"/>
      <c r="D476" s="25"/>
      <c r="E476" s="25"/>
      <c r="F476" s="25"/>
      <c r="G476" s="25"/>
      <c r="H476" s="25"/>
      <c r="I476" s="25"/>
      <c r="J476" s="25"/>
      <c r="K476" s="25"/>
      <c r="L476" s="25"/>
      <c r="M476" s="495"/>
      <c r="N476" s="63"/>
      <c r="O476" s="63"/>
      <c r="P476" s="496"/>
      <c r="Q476" s="497"/>
      <c r="R476" s="63"/>
      <c r="S476" s="498"/>
      <c r="T476" s="63"/>
      <c r="U476" s="63"/>
      <c r="V476" s="499"/>
      <c r="W476" s="499"/>
      <c r="X476" s="63"/>
      <c r="Y476" s="63"/>
      <c r="Z476" s="500"/>
      <c r="AA476" s="63"/>
      <c r="AB476" s="63"/>
      <c r="AC476" s="63"/>
      <c r="AD476" s="63"/>
      <c r="AE476" s="63"/>
      <c r="AF476" s="63"/>
      <c r="AG476" s="63"/>
      <c r="AH476" s="63"/>
      <c r="AI476" s="501"/>
      <c r="AJ476" s="63"/>
      <c r="AK476" s="25"/>
      <c r="AL476" s="25"/>
      <c r="AM476" s="25"/>
    </row>
    <row r="477" ht="14" spans="1:39">
      <c r="A477" s="25"/>
      <c r="B477" s="63"/>
      <c r="C477" s="25"/>
      <c r="D477" s="25"/>
      <c r="E477" s="25"/>
      <c r="F477" s="25"/>
      <c r="G477" s="25"/>
      <c r="H477" s="25"/>
      <c r="I477" s="25"/>
      <c r="J477" s="25"/>
      <c r="K477" s="25"/>
      <c r="L477" s="25"/>
      <c r="M477" s="495"/>
      <c r="N477" s="63"/>
      <c r="O477" s="63"/>
      <c r="P477" s="496"/>
      <c r="Q477" s="497"/>
      <c r="R477" s="63"/>
      <c r="S477" s="498"/>
      <c r="T477" s="63"/>
      <c r="U477" s="63"/>
      <c r="V477" s="499"/>
      <c r="W477" s="499"/>
      <c r="X477" s="63"/>
      <c r="Y477" s="63"/>
      <c r="Z477" s="500"/>
      <c r="AA477" s="63"/>
      <c r="AB477" s="63"/>
      <c r="AC477" s="63"/>
      <c r="AD477" s="63"/>
      <c r="AE477" s="63"/>
      <c r="AF477" s="63"/>
      <c r="AG477" s="63"/>
      <c r="AH477" s="63"/>
      <c r="AI477" s="501"/>
      <c r="AJ477" s="63"/>
      <c r="AK477" s="25"/>
      <c r="AL477" s="25"/>
      <c r="AM477" s="25"/>
    </row>
    <row r="478" ht="14" spans="1:39">
      <c r="A478" s="25"/>
      <c r="B478" s="63"/>
      <c r="C478" s="25"/>
      <c r="D478" s="25"/>
      <c r="E478" s="25"/>
      <c r="F478" s="25"/>
      <c r="G478" s="25"/>
      <c r="H478" s="25"/>
      <c r="I478" s="25"/>
      <c r="J478" s="25"/>
      <c r="K478" s="25"/>
      <c r="L478" s="25"/>
      <c r="M478" s="495"/>
      <c r="N478" s="63"/>
      <c r="O478" s="63"/>
      <c r="P478" s="496"/>
      <c r="Q478" s="497"/>
      <c r="R478" s="63"/>
      <c r="S478" s="498"/>
      <c r="T478" s="63"/>
      <c r="U478" s="63"/>
      <c r="V478" s="499"/>
      <c r="W478" s="499"/>
      <c r="X478" s="63"/>
      <c r="Y478" s="63"/>
      <c r="Z478" s="500"/>
      <c r="AA478" s="63"/>
      <c r="AB478" s="63"/>
      <c r="AC478" s="63"/>
      <c r="AD478" s="63"/>
      <c r="AE478" s="63"/>
      <c r="AF478" s="63"/>
      <c r="AG478" s="63"/>
      <c r="AH478" s="63"/>
      <c r="AI478" s="501"/>
      <c r="AJ478" s="63"/>
      <c r="AK478" s="25"/>
      <c r="AL478" s="25"/>
      <c r="AM478" s="25"/>
    </row>
    <row r="479" ht="14" spans="1:39">
      <c r="A479" s="25"/>
      <c r="B479" s="63"/>
      <c r="C479" s="25"/>
      <c r="D479" s="25"/>
      <c r="E479" s="25"/>
      <c r="F479" s="25"/>
      <c r="G479" s="25"/>
      <c r="H479" s="25"/>
      <c r="I479" s="25"/>
      <c r="J479" s="25"/>
      <c r="K479" s="25"/>
      <c r="L479" s="25"/>
      <c r="M479" s="495"/>
      <c r="N479" s="63"/>
      <c r="O479" s="63"/>
      <c r="P479" s="496"/>
      <c r="Q479" s="497"/>
      <c r="R479" s="63"/>
      <c r="S479" s="498"/>
      <c r="T479" s="63"/>
      <c r="U479" s="63"/>
      <c r="V479" s="499"/>
      <c r="W479" s="499"/>
      <c r="X479" s="63"/>
      <c r="Y479" s="63"/>
      <c r="Z479" s="500"/>
      <c r="AA479" s="63"/>
      <c r="AB479" s="63"/>
      <c r="AC479" s="63"/>
      <c r="AD479" s="63"/>
      <c r="AE479" s="63"/>
      <c r="AF479" s="63"/>
      <c r="AG479" s="63"/>
      <c r="AH479" s="63"/>
      <c r="AI479" s="501"/>
      <c r="AJ479" s="63"/>
      <c r="AK479" s="25"/>
      <c r="AL479" s="25"/>
      <c r="AM479" s="25"/>
    </row>
    <row r="480" ht="14" spans="1:39">
      <c r="A480" s="25"/>
      <c r="B480" s="63"/>
      <c r="C480" s="25"/>
      <c r="D480" s="25"/>
      <c r="E480" s="25"/>
      <c r="F480" s="25"/>
      <c r="G480" s="25"/>
      <c r="H480" s="25"/>
      <c r="I480" s="25"/>
      <c r="J480" s="25"/>
      <c r="K480" s="25"/>
      <c r="L480" s="25"/>
      <c r="M480" s="495"/>
      <c r="N480" s="63"/>
      <c r="O480" s="63"/>
      <c r="P480" s="496"/>
      <c r="Q480" s="497"/>
      <c r="R480" s="63"/>
      <c r="S480" s="498"/>
      <c r="T480" s="63"/>
      <c r="U480" s="63"/>
      <c r="V480" s="499"/>
      <c r="W480" s="499"/>
      <c r="X480" s="63"/>
      <c r="Y480" s="63"/>
      <c r="Z480" s="500"/>
      <c r="AA480" s="63"/>
      <c r="AB480" s="63"/>
      <c r="AC480" s="63"/>
      <c r="AD480" s="63"/>
      <c r="AE480" s="63"/>
      <c r="AF480" s="63"/>
      <c r="AG480" s="63"/>
      <c r="AH480" s="63"/>
      <c r="AI480" s="501"/>
      <c r="AJ480" s="63"/>
      <c r="AK480" s="25"/>
      <c r="AL480" s="25"/>
      <c r="AM480" s="25"/>
    </row>
    <row r="481" ht="14" spans="1:39">
      <c r="A481" s="25"/>
      <c r="B481" s="63"/>
      <c r="C481" s="25"/>
      <c r="D481" s="25"/>
      <c r="E481" s="25"/>
      <c r="F481" s="25"/>
      <c r="G481" s="25"/>
      <c r="H481" s="25"/>
      <c r="I481" s="25"/>
      <c r="J481" s="25"/>
      <c r="K481" s="25"/>
      <c r="L481" s="25"/>
      <c r="M481" s="495"/>
      <c r="N481" s="63"/>
      <c r="O481" s="63"/>
      <c r="P481" s="496"/>
      <c r="Q481" s="497"/>
      <c r="R481" s="63"/>
      <c r="S481" s="498"/>
      <c r="T481" s="63"/>
      <c r="U481" s="63"/>
      <c r="V481" s="499"/>
      <c r="W481" s="499"/>
      <c r="X481" s="63"/>
      <c r="Y481" s="63"/>
      <c r="Z481" s="500"/>
      <c r="AA481" s="63"/>
      <c r="AB481" s="63"/>
      <c r="AC481" s="63"/>
      <c r="AD481" s="63"/>
      <c r="AE481" s="63"/>
      <c r="AF481" s="63"/>
      <c r="AG481" s="63"/>
      <c r="AH481" s="63"/>
      <c r="AI481" s="501"/>
      <c r="AJ481" s="63"/>
      <c r="AK481" s="25"/>
      <c r="AL481" s="25"/>
      <c r="AM481" s="25"/>
    </row>
    <row r="482" ht="14" spans="1:39">
      <c r="A482" s="25"/>
      <c r="B482" s="63"/>
      <c r="C482" s="25"/>
      <c r="D482" s="25"/>
      <c r="E482" s="25"/>
      <c r="F482" s="25"/>
      <c r="G482" s="25"/>
      <c r="H482" s="25"/>
      <c r="I482" s="25"/>
      <c r="J482" s="25"/>
      <c r="K482" s="25"/>
      <c r="L482" s="25"/>
      <c r="M482" s="495"/>
      <c r="N482" s="63"/>
      <c r="O482" s="63"/>
      <c r="P482" s="496"/>
      <c r="Q482" s="497"/>
      <c r="R482" s="63"/>
      <c r="S482" s="498"/>
      <c r="T482" s="63"/>
      <c r="U482" s="63"/>
      <c r="V482" s="499"/>
      <c r="W482" s="499"/>
      <c r="X482" s="63"/>
      <c r="Y482" s="63"/>
      <c r="Z482" s="500"/>
      <c r="AA482" s="63"/>
      <c r="AB482" s="63"/>
      <c r="AC482" s="63"/>
      <c r="AD482" s="63"/>
      <c r="AE482" s="63"/>
      <c r="AF482" s="63"/>
      <c r="AG482" s="63"/>
      <c r="AH482" s="63"/>
      <c r="AI482" s="501"/>
      <c r="AJ482" s="63"/>
      <c r="AK482" s="25"/>
      <c r="AL482" s="25"/>
      <c r="AM482" s="25"/>
    </row>
    <row r="483" ht="14" spans="1:39">
      <c r="A483" s="25"/>
      <c r="B483" s="63"/>
      <c r="C483" s="25"/>
      <c r="D483" s="25"/>
      <c r="E483" s="25"/>
      <c r="F483" s="25"/>
      <c r="G483" s="25"/>
      <c r="H483" s="25"/>
      <c r="I483" s="25"/>
      <c r="J483" s="25"/>
      <c r="K483" s="25"/>
      <c r="L483" s="25"/>
      <c r="M483" s="495"/>
      <c r="N483" s="63"/>
      <c r="O483" s="63"/>
      <c r="P483" s="496"/>
      <c r="Q483" s="497"/>
      <c r="R483" s="63"/>
      <c r="S483" s="498"/>
      <c r="T483" s="63"/>
      <c r="U483" s="63"/>
      <c r="V483" s="499"/>
      <c r="W483" s="499"/>
      <c r="X483" s="63"/>
      <c r="Y483" s="63"/>
      <c r="Z483" s="500"/>
      <c r="AA483" s="63"/>
      <c r="AB483" s="63"/>
      <c r="AC483" s="63"/>
      <c r="AD483" s="63"/>
      <c r="AE483" s="63"/>
      <c r="AF483" s="63"/>
      <c r="AG483" s="63"/>
      <c r="AH483" s="63"/>
      <c r="AI483" s="501"/>
      <c r="AJ483" s="63"/>
      <c r="AK483" s="25"/>
      <c r="AL483" s="25"/>
      <c r="AM483" s="25"/>
    </row>
    <row r="484" ht="14" spans="1:39">
      <c r="A484" s="25"/>
      <c r="B484" s="63"/>
      <c r="C484" s="25"/>
      <c r="D484" s="25"/>
      <c r="E484" s="25"/>
      <c r="F484" s="25"/>
      <c r="G484" s="25"/>
      <c r="H484" s="25"/>
      <c r="I484" s="25"/>
      <c r="J484" s="25"/>
      <c r="K484" s="25"/>
      <c r="L484" s="25"/>
      <c r="M484" s="495"/>
      <c r="N484" s="63"/>
      <c r="O484" s="63"/>
      <c r="P484" s="496"/>
      <c r="Q484" s="497"/>
      <c r="R484" s="63"/>
      <c r="S484" s="498"/>
      <c r="T484" s="63"/>
      <c r="U484" s="63"/>
      <c r="V484" s="499"/>
      <c r="W484" s="499"/>
      <c r="X484" s="63"/>
      <c r="Y484" s="63"/>
      <c r="Z484" s="500"/>
      <c r="AA484" s="63"/>
      <c r="AB484" s="63"/>
      <c r="AC484" s="63"/>
      <c r="AD484" s="63"/>
      <c r="AE484" s="63"/>
      <c r="AF484" s="63"/>
      <c r="AG484" s="63"/>
      <c r="AH484" s="63"/>
      <c r="AI484" s="501"/>
      <c r="AJ484" s="63"/>
      <c r="AK484" s="25"/>
      <c r="AL484" s="25"/>
      <c r="AM484" s="25"/>
    </row>
    <row r="485" ht="14" spans="1:39">
      <c r="A485" s="25"/>
      <c r="B485" s="63"/>
      <c r="C485" s="25"/>
      <c r="D485" s="25"/>
      <c r="E485" s="25"/>
      <c r="F485" s="25"/>
      <c r="G485" s="25"/>
      <c r="H485" s="25"/>
      <c r="I485" s="25"/>
      <c r="J485" s="25"/>
      <c r="K485" s="25"/>
      <c r="L485" s="25"/>
      <c r="M485" s="495"/>
      <c r="N485" s="63"/>
      <c r="O485" s="63"/>
      <c r="P485" s="496"/>
      <c r="Q485" s="497"/>
      <c r="R485" s="63"/>
      <c r="S485" s="498"/>
      <c r="T485" s="63"/>
      <c r="U485" s="63"/>
      <c r="V485" s="499"/>
      <c r="W485" s="499"/>
      <c r="X485" s="63"/>
      <c r="Y485" s="63"/>
      <c r="Z485" s="500"/>
      <c r="AA485" s="63"/>
      <c r="AB485" s="63"/>
      <c r="AC485" s="63"/>
      <c r="AD485" s="63"/>
      <c r="AE485" s="63"/>
      <c r="AF485" s="63"/>
      <c r="AG485" s="63"/>
      <c r="AH485" s="63"/>
      <c r="AI485" s="501"/>
      <c r="AJ485" s="63"/>
      <c r="AK485" s="25"/>
      <c r="AL485" s="25"/>
      <c r="AM485" s="25"/>
    </row>
    <row r="486" ht="14" spans="1:39">
      <c r="A486" s="25"/>
      <c r="B486" s="63"/>
      <c r="C486" s="25"/>
      <c r="D486" s="25"/>
      <c r="E486" s="25"/>
      <c r="F486" s="25"/>
      <c r="G486" s="25"/>
      <c r="H486" s="25"/>
      <c r="I486" s="25"/>
      <c r="J486" s="25"/>
      <c r="K486" s="25"/>
      <c r="L486" s="25"/>
      <c r="M486" s="495"/>
      <c r="N486" s="63"/>
      <c r="O486" s="63"/>
      <c r="P486" s="496"/>
      <c r="Q486" s="497"/>
      <c r="R486" s="63"/>
      <c r="S486" s="498"/>
      <c r="T486" s="63"/>
      <c r="U486" s="63"/>
      <c r="V486" s="499"/>
      <c r="W486" s="499"/>
      <c r="X486" s="63"/>
      <c r="Y486" s="63"/>
      <c r="Z486" s="500"/>
      <c r="AA486" s="63"/>
      <c r="AB486" s="63"/>
      <c r="AC486" s="63"/>
      <c r="AD486" s="63"/>
      <c r="AE486" s="63"/>
      <c r="AF486" s="63"/>
      <c r="AG486" s="63"/>
      <c r="AH486" s="63"/>
      <c r="AI486" s="501"/>
      <c r="AJ486" s="63"/>
      <c r="AK486" s="25"/>
      <c r="AL486" s="25"/>
      <c r="AM486" s="25"/>
    </row>
    <row r="487" ht="14" spans="1:39">
      <c r="A487" s="25"/>
      <c r="B487" s="63"/>
      <c r="C487" s="25"/>
      <c r="D487" s="25"/>
      <c r="E487" s="25"/>
      <c r="F487" s="25"/>
      <c r="G487" s="25"/>
      <c r="H487" s="25"/>
      <c r="I487" s="25"/>
      <c r="J487" s="25"/>
      <c r="K487" s="25"/>
      <c r="L487" s="25"/>
      <c r="M487" s="495"/>
      <c r="N487" s="63"/>
      <c r="O487" s="63"/>
      <c r="P487" s="496"/>
      <c r="Q487" s="497"/>
      <c r="R487" s="63"/>
      <c r="S487" s="498"/>
      <c r="T487" s="63"/>
      <c r="U487" s="63"/>
      <c r="V487" s="499"/>
      <c r="W487" s="499"/>
      <c r="X487" s="63"/>
      <c r="Y487" s="63"/>
      <c r="Z487" s="500"/>
      <c r="AA487" s="63"/>
      <c r="AB487" s="63"/>
      <c r="AC487" s="63"/>
      <c r="AD487" s="63"/>
      <c r="AE487" s="63"/>
      <c r="AF487" s="63"/>
      <c r="AG487" s="63"/>
      <c r="AH487" s="63"/>
      <c r="AI487" s="501"/>
      <c r="AJ487" s="63"/>
      <c r="AK487" s="25"/>
      <c r="AL487" s="25"/>
      <c r="AM487" s="25"/>
    </row>
    <row r="488" ht="14" spans="1:39">
      <c r="A488" s="25"/>
      <c r="B488" s="63"/>
      <c r="C488" s="25"/>
      <c r="D488" s="25"/>
      <c r="E488" s="25"/>
      <c r="F488" s="25"/>
      <c r="G488" s="25"/>
      <c r="H488" s="25"/>
      <c r="I488" s="25"/>
      <c r="J488" s="25"/>
      <c r="K488" s="25"/>
      <c r="L488" s="25"/>
      <c r="M488" s="495"/>
      <c r="N488" s="63"/>
      <c r="O488" s="63"/>
      <c r="P488" s="496"/>
      <c r="Q488" s="497"/>
      <c r="R488" s="63"/>
      <c r="S488" s="498"/>
      <c r="T488" s="63"/>
      <c r="U488" s="63"/>
      <c r="V488" s="499"/>
      <c r="W488" s="499"/>
      <c r="X488" s="63"/>
      <c r="Y488" s="63"/>
      <c r="Z488" s="500"/>
      <c r="AA488" s="63"/>
      <c r="AB488" s="63"/>
      <c r="AC488" s="63"/>
      <c r="AD488" s="63"/>
      <c r="AE488" s="63"/>
      <c r="AF488" s="63"/>
      <c r="AG488" s="63"/>
      <c r="AH488" s="63"/>
      <c r="AI488" s="501"/>
      <c r="AJ488" s="63"/>
      <c r="AK488" s="25"/>
      <c r="AL488" s="25"/>
      <c r="AM488" s="25"/>
    </row>
    <row r="489" ht="14" spans="1:39">
      <c r="A489" s="25"/>
      <c r="B489" s="63"/>
      <c r="C489" s="25"/>
      <c r="D489" s="25"/>
      <c r="E489" s="25"/>
      <c r="F489" s="25"/>
      <c r="G489" s="25"/>
      <c r="H489" s="25"/>
      <c r="I489" s="25"/>
      <c r="J489" s="25"/>
      <c r="K489" s="25"/>
      <c r="L489" s="25"/>
      <c r="M489" s="495"/>
      <c r="N489" s="63"/>
      <c r="O489" s="63"/>
      <c r="P489" s="496"/>
      <c r="Q489" s="497"/>
      <c r="R489" s="63"/>
      <c r="S489" s="498"/>
      <c r="T489" s="63"/>
      <c r="U489" s="63"/>
      <c r="V489" s="499"/>
      <c r="W489" s="499"/>
      <c r="X489" s="63"/>
      <c r="Y489" s="63"/>
      <c r="Z489" s="500"/>
      <c r="AA489" s="63"/>
      <c r="AB489" s="63"/>
      <c r="AC489" s="63"/>
      <c r="AD489" s="63"/>
      <c r="AE489" s="63"/>
      <c r="AF489" s="63"/>
      <c r="AG489" s="63"/>
      <c r="AH489" s="63"/>
      <c r="AI489" s="501"/>
      <c r="AJ489" s="63"/>
      <c r="AK489" s="25"/>
      <c r="AL489" s="25"/>
      <c r="AM489" s="25"/>
    </row>
    <row r="490" ht="14" spans="1:39">
      <c r="A490" s="25"/>
      <c r="B490" s="63"/>
      <c r="C490" s="25"/>
      <c r="D490" s="25"/>
      <c r="E490" s="25"/>
      <c r="F490" s="25"/>
      <c r="G490" s="25"/>
      <c r="H490" s="25"/>
      <c r="I490" s="25"/>
      <c r="J490" s="25"/>
      <c r="K490" s="25"/>
      <c r="L490" s="25"/>
      <c r="M490" s="495"/>
      <c r="N490" s="63"/>
      <c r="O490" s="63"/>
      <c r="P490" s="496"/>
      <c r="Q490" s="497"/>
      <c r="R490" s="63"/>
      <c r="S490" s="498"/>
      <c r="T490" s="63"/>
      <c r="U490" s="63"/>
      <c r="V490" s="499"/>
      <c r="W490" s="499"/>
      <c r="X490" s="63"/>
      <c r="Y490" s="63"/>
      <c r="Z490" s="500"/>
      <c r="AA490" s="63"/>
      <c r="AB490" s="63"/>
      <c r="AC490" s="63"/>
      <c r="AD490" s="63"/>
      <c r="AE490" s="63"/>
      <c r="AF490" s="63"/>
      <c r="AG490" s="63"/>
      <c r="AH490" s="63"/>
      <c r="AI490" s="501"/>
      <c r="AJ490" s="63"/>
      <c r="AK490" s="25"/>
      <c r="AL490" s="25"/>
      <c r="AM490" s="25"/>
    </row>
    <row r="491" ht="14" spans="1:39">
      <c r="A491" s="25"/>
      <c r="B491" s="63"/>
      <c r="C491" s="25"/>
      <c r="D491" s="25"/>
      <c r="E491" s="25"/>
      <c r="F491" s="25"/>
      <c r="G491" s="25"/>
      <c r="H491" s="25"/>
      <c r="I491" s="25"/>
      <c r="J491" s="25"/>
      <c r="K491" s="25"/>
      <c r="L491" s="25"/>
      <c r="M491" s="495"/>
      <c r="N491" s="63"/>
      <c r="O491" s="63"/>
      <c r="P491" s="496"/>
      <c r="Q491" s="497"/>
      <c r="R491" s="63"/>
      <c r="S491" s="498"/>
      <c r="T491" s="63"/>
      <c r="U491" s="63"/>
      <c r="V491" s="499"/>
      <c r="W491" s="499"/>
      <c r="X491" s="63"/>
      <c r="Y491" s="63"/>
      <c r="Z491" s="500"/>
      <c r="AA491" s="63"/>
      <c r="AB491" s="63"/>
      <c r="AC491" s="63"/>
      <c r="AD491" s="63"/>
      <c r="AE491" s="63"/>
      <c r="AF491" s="63"/>
      <c r="AG491" s="63"/>
      <c r="AH491" s="63"/>
      <c r="AI491" s="501"/>
      <c r="AJ491" s="63"/>
      <c r="AK491" s="25"/>
      <c r="AL491" s="25"/>
      <c r="AM491" s="25"/>
    </row>
    <row r="492" ht="14" spans="1:39">
      <c r="A492" s="25"/>
      <c r="B492" s="63"/>
      <c r="C492" s="25"/>
      <c r="D492" s="25"/>
      <c r="E492" s="25"/>
      <c r="F492" s="25"/>
      <c r="G492" s="25"/>
      <c r="H492" s="25"/>
      <c r="I492" s="25"/>
      <c r="J492" s="25"/>
      <c r="K492" s="25"/>
      <c r="L492" s="25"/>
      <c r="M492" s="495"/>
      <c r="N492" s="63"/>
      <c r="O492" s="63"/>
      <c r="P492" s="496"/>
      <c r="Q492" s="497"/>
      <c r="R492" s="63"/>
      <c r="S492" s="498"/>
      <c r="T492" s="63"/>
      <c r="U492" s="63"/>
      <c r="V492" s="499"/>
      <c r="W492" s="499"/>
      <c r="X492" s="63"/>
      <c r="Y492" s="63"/>
      <c r="Z492" s="500"/>
      <c r="AA492" s="63"/>
      <c r="AB492" s="63"/>
      <c r="AC492" s="63"/>
      <c r="AD492" s="63"/>
      <c r="AE492" s="63"/>
      <c r="AF492" s="63"/>
      <c r="AG492" s="63"/>
      <c r="AH492" s="63"/>
      <c r="AI492" s="501"/>
      <c r="AJ492" s="63"/>
      <c r="AK492" s="25"/>
      <c r="AL492" s="25"/>
      <c r="AM492" s="25"/>
    </row>
    <row r="493" ht="14" spans="1:39">
      <c r="A493" s="25"/>
      <c r="B493" s="63"/>
      <c r="C493" s="25"/>
      <c r="D493" s="25"/>
      <c r="E493" s="25"/>
      <c r="F493" s="25"/>
      <c r="G493" s="25"/>
      <c r="H493" s="25"/>
      <c r="I493" s="25"/>
      <c r="J493" s="25"/>
      <c r="K493" s="25"/>
      <c r="L493" s="25"/>
      <c r="M493" s="495"/>
      <c r="N493" s="63"/>
      <c r="O493" s="63"/>
      <c r="P493" s="496"/>
      <c r="Q493" s="497"/>
      <c r="R493" s="63"/>
      <c r="S493" s="498"/>
      <c r="T493" s="63"/>
      <c r="U493" s="63"/>
      <c r="V493" s="499"/>
      <c r="W493" s="499"/>
      <c r="X493" s="63"/>
      <c r="Y493" s="63"/>
      <c r="Z493" s="500"/>
      <c r="AA493" s="63"/>
      <c r="AB493" s="63"/>
      <c r="AC493" s="63"/>
      <c r="AD493" s="63"/>
      <c r="AE493" s="63"/>
      <c r="AF493" s="63"/>
      <c r="AG493" s="63"/>
      <c r="AH493" s="63"/>
      <c r="AI493" s="501"/>
      <c r="AJ493" s="63"/>
      <c r="AK493" s="25"/>
      <c r="AL493" s="25"/>
      <c r="AM493" s="25"/>
    </row>
    <row r="494" ht="14" spans="1:39">
      <c r="A494" s="25"/>
      <c r="B494" s="63"/>
      <c r="C494" s="25"/>
      <c r="D494" s="25"/>
      <c r="E494" s="25"/>
      <c r="F494" s="25"/>
      <c r="G494" s="25"/>
      <c r="H494" s="25"/>
      <c r="I494" s="25"/>
      <c r="J494" s="25"/>
      <c r="K494" s="25"/>
      <c r="L494" s="25"/>
      <c r="M494" s="495"/>
      <c r="N494" s="63"/>
      <c r="O494" s="63"/>
      <c r="P494" s="496"/>
      <c r="Q494" s="497"/>
      <c r="R494" s="63"/>
      <c r="S494" s="498"/>
      <c r="T494" s="63"/>
      <c r="U494" s="63"/>
      <c r="V494" s="499"/>
      <c r="W494" s="499"/>
      <c r="X494" s="63"/>
      <c r="Y494" s="63"/>
      <c r="Z494" s="500"/>
      <c r="AA494" s="63"/>
      <c r="AB494" s="63"/>
      <c r="AC494" s="63"/>
      <c r="AD494" s="63"/>
      <c r="AE494" s="63"/>
      <c r="AF494" s="63"/>
      <c r="AG494" s="63"/>
      <c r="AH494" s="63"/>
      <c r="AI494" s="501"/>
      <c r="AJ494" s="63"/>
      <c r="AK494" s="25"/>
      <c r="AL494" s="25"/>
      <c r="AM494" s="25"/>
    </row>
    <row r="495" ht="14" spans="1:39">
      <c r="A495" s="25"/>
      <c r="B495" s="63"/>
      <c r="C495" s="25"/>
      <c r="D495" s="25"/>
      <c r="E495" s="25"/>
      <c r="F495" s="25"/>
      <c r="G495" s="25"/>
      <c r="H495" s="25"/>
      <c r="I495" s="25"/>
      <c r="J495" s="25"/>
      <c r="K495" s="25"/>
      <c r="L495" s="25"/>
      <c r="M495" s="495"/>
      <c r="N495" s="63"/>
      <c r="O495" s="63"/>
      <c r="P495" s="496"/>
      <c r="Q495" s="497"/>
      <c r="R495" s="63"/>
      <c r="S495" s="498"/>
      <c r="T495" s="63"/>
      <c r="U495" s="63"/>
      <c r="V495" s="499"/>
      <c r="W495" s="499"/>
      <c r="X495" s="63"/>
      <c r="Y495" s="63"/>
      <c r="Z495" s="500"/>
      <c r="AA495" s="63"/>
      <c r="AB495" s="63"/>
      <c r="AC495" s="63"/>
      <c r="AD495" s="63"/>
      <c r="AE495" s="63"/>
      <c r="AF495" s="63"/>
      <c r="AG495" s="63"/>
      <c r="AH495" s="63"/>
      <c r="AI495" s="501"/>
      <c r="AJ495" s="63"/>
      <c r="AK495" s="25"/>
      <c r="AL495" s="25"/>
      <c r="AM495" s="25"/>
    </row>
    <row r="496" ht="14" spans="1:39">
      <c r="A496" s="25"/>
      <c r="B496" s="63"/>
      <c r="C496" s="25"/>
      <c r="D496" s="25"/>
      <c r="E496" s="25"/>
      <c r="F496" s="25"/>
      <c r="G496" s="25"/>
      <c r="H496" s="25"/>
      <c r="I496" s="25"/>
      <c r="J496" s="25"/>
      <c r="K496" s="25"/>
      <c r="L496" s="25"/>
      <c r="M496" s="495"/>
      <c r="N496" s="63"/>
      <c r="O496" s="63"/>
      <c r="P496" s="496"/>
      <c r="Q496" s="497"/>
      <c r="R496" s="63"/>
      <c r="S496" s="498"/>
      <c r="T496" s="63"/>
      <c r="U496" s="63"/>
      <c r="V496" s="499"/>
      <c r="W496" s="499"/>
      <c r="X496" s="63"/>
      <c r="Y496" s="63"/>
      <c r="Z496" s="500"/>
      <c r="AA496" s="63"/>
      <c r="AB496" s="63"/>
      <c r="AC496" s="63"/>
      <c r="AD496" s="63"/>
      <c r="AE496" s="63"/>
      <c r="AF496" s="63"/>
      <c r="AG496" s="63"/>
      <c r="AH496" s="63"/>
      <c r="AI496" s="501"/>
      <c r="AJ496" s="63"/>
      <c r="AK496" s="25"/>
      <c r="AL496" s="25"/>
      <c r="AM496" s="25"/>
    </row>
    <row r="497" ht="14" spans="1:39">
      <c r="A497" s="25"/>
      <c r="B497" s="63"/>
      <c r="C497" s="25"/>
      <c r="D497" s="25"/>
      <c r="E497" s="25"/>
      <c r="F497" s="25"/>
      <c r="G497" s="25"/>
      <c r="H497" s="25"/>
      <c r="I497" s="25"/>
      <c r="J497" s="25"/>
      <c r="K497" s="25"/>
      <c r="L497" s="25"/>
      <c r="M497" s="495"/>
      <c r="N497" s="63"/>
      <c r="O497" s="63"/>
      <c r="P497" s="496"/>
      <c r="Q497" s="497"/>
      <c r="R497" s="63"/>
      <c r="S497" s="498"/>
      <c r="T497" s="63"/>
      <c r="U497" s="63"/>
      <c r="V497" s="499"/>
      <c r="W497" s="499"/>
      <c r="X497" s="63"/>
      <c r="Y497" s="63"/>
      <c r="Z497" s="500"/>
      <c r="AA497" s="63"/>
      <c r="AB497" s="63"/>
      <c r="AC497" s="63"/>
      <c r="AD497" s="63"/>
      <c r="AE497" s="63"/>
      <c r="AF497" s="63"/>
      <c r="AG497" s="63"/>
      <c r="AH497" s="63"/>
      <c r="AI497" s="501"/>
      <c r="AJ497" s="63"/>
      <c r="AK497" s="25"/>
      <c r="AL497" s="25"/>
      <c r="AM497" s="25"/>
    </row>
    <row r="498" ht="14" spans="1:39">
      <c r="A498" s="25"/>
      <c r="B498" s="63"/>
      <c r="C498" s="25"/>
      <c r="D498" s="25"/>
      <c r="E498" s="25"/>
      <c r="F498" s="25"/>
      <c r="G498" s="25"/>
      <c r="H498" s="25"/>
      <c r="I498" s="25"/>
      <c r="J498" s="25"/>
      <c r="K498" s="25"/>
      <c r="L498" s="25"/>
      <c r="M498" s="495"/>
      <c r="N498" s="63"/>
      <c r="O498" s="63"/>
      <c r="P498" s="496"/>
      <c r="Q498" s="497"/>
      <c r="R498" s="63"/>
      <c r="S498" s="498"/>
      <c r="T498" s="63"/>
      <c r="U498" s="63"/>
      <c r="V498" s="499"/>
      <c r="W498" s="499"/>
      <c r="X498" s="63"/>
      <c r="Y498" s="63"/>
      <c r="Z498" s="500"/>
      <c r="AA498" s="63"/>
      <c r="AB498" s="63"/>
      <c r="AC498" s="63"/>
      <c r="AD498" s="63"/>
      <c r="AE498" s="63"/>
      <c r="AF498" s="63"/>
      <c r="AG498" s="63"/>
      <c r="AH498" s="63"/>
      <c r="AI498" s="501"/>
      <c r="AJ498" s="63"/>
      <c r="AK498" s="25"/>
      <c r="AL498" s="25"/>
      <c r="AM498" s="25"/>
    </row>
    <row r="499" ht="14" spans="1:39">
      <c r="A499" s="25"/>
      <c r="B499" s="63"/>
      <c r="C499" s="25"/>
      <c r="D499" s="25"/>
      <c r="E499" s="25"/>
      <c r="F499" s="25"/>
      <c r="G499" s="25"/>
      <c r="H499" s="25"/>
      <c r="I499" s="25"/>
      <c r="J499" s="25"/>
      <c r="K499" s="25"/>
      <c r="L499" s="25"/>
      <c r="M499" s="495"/>
      <c r="N499" s="63"/>
      <c r="O499" s="63"/>
      <c r="P499" s="496"/>
      <c r="Q499" s="497"/>
      <c r="R499" s="63"/>
      <c r="S499" s="498"/>
      <c r="T499" s="63"/>
      <c r="U499" s="63"/>
      <c r="V499" s="499"/>
      <c r="W499" s="499"/>
      <c r="X499" s="63"/>
      <c r="Y499" s="63"/>
      <c r="Z499" s="500"/>
      <c r="AA499" s="63"/>
      <c r="AB499" s="63"/>
      <c r="AC499" s="63"/>
      <c r="AD499" s="63"/>
      <c r="AE499" s="63"/>
      <c r="AF499" s="63"/>
      <c r="AG499" s="63"/>
      <c r="AH499" s="63"/>
      <c r="AI499" s="501"/>
      <c r="AJ499" s="63"/>
      <c r="AK499" s="25"/>
      <c r="AL499" s="25"/>
      <c r="AM499" s="25"/>
    </row>
    <row r="500" ht="14" spans="1:39">
      <c r="A500" s="25"/>
      <c r="B500" s="63"/>
      <c r="C500" s="25"/>
      <c r="D500" s="25"/>
      <c r="E500" s="25"/>
      <c r="F500" s="25"/>
      <c r="G500" s="25"/>
      <c r="H500" s="25"/>
      <c r="I500" s="25"/>
      <c r="J500" s="25"/>
      <c r="K500" s="25"/>
      <c r="L500" s="25"/>
      <c r="M500" s="495"/>
      <c r="N500" s="63"/>
      <c r="O500" s="63"/>
      <c r="P500" s="496"/>
      <c r="Q500" s="497"/>
      <c r="R500" s="63"/>
      <c r="S500" s="498"/>
      <c r="T500" s="63"/>
      <c r="U500" s="63"/>
      <c r="V500" s="499"/>
      <c r="W500" s="499"/>
      <c r="X500" s="63"/>
      <c r="Y500" s="63"/>
      <c r="Z500" s="500"/>
      <c r="AA500" s="63"/>
      <c r="AB500" s="63"/>
      <c r="AC500" s="63"/>
      <c r="AD500" s="63"/>
      <c r="AE500" s="63"/>
      <c r="AF500" s="63"/>
      <c r="AG500" s="63"/>
      <c r="AH500" s="63"/>
      <c r="AI500" s="501"/>
      <c r="AJ500" s="63"/>
      <c r="AK500" s="25"/>
      <c r="AL500" s="25"/>
      <c r="AM500" s="25"/>
    </row>
    <row r="501" ht="14" spans="1:39">
      <c r="A501" s="25"/>
      <c r="B501" s="63"/>
      <c r="C501" s="25"/>
      <c r="D501" s="25"/>
      <c r="E501" s="25"/>
      <c r="F501" s="25"/>
      <c r="G501" s="25"/>
      <c r="H501" s="25"/>
      <c r="I501" s="25"/>
      <c r="J501" s="25"/>
      <c r="K501" s="25"/>
      <c r="L501" s="25"/>
      <c r="M501" s="495"/>
      <c r="N501" s="63"/>
      <c r="O501" s="63"/>
      <c r="P501" s="496"/>
      <c r="Q501" s="497"/>
      <c r="R501" s="63"/>
      <c r="S501" s="498"/>
      <c r="T501" s="63"/>
      <c r="U501" s="63"/>
      <c r="V501" s="499"/>
      <c r="W501" s="499"/>
      <c r="X501" s="63"/>
      <c r="Y501" s="63"/>
      <c r="Z501" s="500"/>
      <c r="AA501" s="63"/>
      <c r="AB501" s="63"/>
      <c r="AC501" s="63"/>
      <c r="AD501" s="63"/>
      <c r="AE501" s="63"/>
      <c r="AF501" s="63"/>
      <c r="AG501" s="63"/>
      <c r="AH501" s="63"/>
      <c r="AI501" s="501"/>
      <c r="AJ501" s="63"/>
      <c r="AK501" s="25"/>
      <c r="AL501" s="25"/>
      <c r="AM501" s="25"/>
    </row>
    <row r="502" ht="14" spans="1:39">
      <c r="A502" s="25"/>
      <c r="B502" s="63"/>
      <c r="C502" s="25"/>
      <c r="D502" s="25"/>
      <c r="E502" s="25"/>
      <c r="F502" s="25"/>
      <c r="G502" s="25"/>
      <c r="H502" s="25"/>
      <c r="I502" s="25"/>
      <c r="J502" s="25"/>
      <c r="K502" s="25"/>
      <c r="L502" s="25"/>
      <c r="M502" s="495"/>
      <c r="N502" s="63"/>
      <c r="O502" s="63"/>
      <c r="P502" s="496"/>
      <c r="Q502" s="497"/>
      <c r="R502" s="63"/>
      <c r="S502" s="498"/>
      <c r="T502" s="63"/>
      <c r="U502" s="63"/>
      <c r="V502" s="499"/>
      <c r="W502" s="499"/>
      <c r="X502" s="63"/>
      <c r="Y502" s="63"/>
      <c r="Z502" s="500"/>
      <c r="AA502" s="63"/>
      <c r="AB502" s="63"/>
      <c r="AC502" s="63"/>
      <c r="AD502" s="63"/>
      <c r="AE502" s="63"/>
      <c r="AF502" s="63"/>
      <c r="AG502" s="63"/>
      <c r="AH502" s="63"/>
      <c r="AI502" s="501"/>
      <c r="AJ502" s="63"/>
      <c r="AK502" s="25"/>
      <c r="AL502" s="25"/>
      <c r="AM502" s="25"/>
    </row>
    <row r="503" ht="14" spans="1:39">
      <c r="A503" s="25"/>
      <c r="B503" s="63"/>
      <c r="C503" s="25"/>
      <c r="D503" s="25"/>
      <c r="E503" s="25"/>
      <c r="F503" s="25"/>
      <c r="G503" s="25"/>
      <c r="H503" s="25"/>
      <c r="I503" s="25"/>
      <c r="J503" s="25"/>
      <c r="K503" s="25"/>
      <c r="L503" s="25"/>
      <c r="M503" s="495"/>
      <c r="N503" s="63"/>
      <c r="O503" s="63"/>
      <c r="P503" s="496"/>
      <c r="Q503" s="497"/>
      <c r="R503" s="63"/>
      <c r="S503" s="498"/>
      <c r="T503" s="63"/>
      <c r="U503" s="63"/>
      <c r="V503" s="499"/>
      <c r="W503" s="499"/>
      <c r="X503" s="63"/>
      <c r="Y503" s="63"/>
      <c r="Z503" s="500"/>
      <c r="AA503" s="63"/>
      <c r="AB503" s="63"/>
      <c r="AC503" s="63"/>
      <c r="AD503" s="63"/>
      <c r="AE503" s="63"/>
      <c r="AF503" s="63"/>
      <c r="AG503" s="63"/>
      <c r="AH503" s="63"/>
      <c r="AI503" s="501"/>
      <c r="AJ503" s="63"/>
      <c r="AK503" s="25"/>
      <c r="AL503" s="25"/>
      <c r="AM503" s="25"/>
    </row>
    <row r="504" ht="14" spans="1:39">
      <c r="A504" s="25"/>
      <c r="B504" s="63"/>
      <c r="C504" s="25"/>
      <c r="D504" s="25"/>
      <c r="E504" s="25"/>
      <c r="F504" s="25"/>
      <c r="G504" s="25"/>
      <c r="H504" s="25"/>
      <c r="I504" s="25"/>
      <c r="J504" s="25"/>
      <c r="K504" s="25"/>
      <c r="L504" s="25"/>
      <c r="M504" s="495"/>
      <c r="N504" s="63"/>
      <c r="O504" s="63"/>
      <c r="P504" s="496"/>
      <c r="Q504" s="497"/>
      <c r="R504" s="63"/>
      <c r="S504" s="498"/>
      <c r="T504" s="63"/>
      <c r="U504" s="63"/>
      <c r="V504" s="499"/>
      <c r="W504" s="499"/>
      <c r="X504" s="63"/>
      <c r="Y504" s="63"/>
      <c r="Z504" s="500"/>
      <c r="AA504" s="63"/>
      <c r="AB504" s="63"/>
      <c r="AC504" s="63"/>
      <c r="AD504" s="63"/>
      <c r="AE504" s="63"/>
      <c r="AF504" s="63"/>
      <c r="AG504" s="63"/>
      <c r="AH504" s="63"/>
      <c r="AI504" s="501"/>
      <c r="AJ504" s="63"/>
      <c r="AK504" s="25"/>
      <c r="AL504" s="25"/>
      <c r="AM504" s="25"/>
    </row>
    <row r="505" ht="14" spans="1:39">
      <c r="A505" s="25"/>
      <c r="B505" s="63"/>
      <c r="C505" s="25"/>
      <c r="D505" s="25"/>
      <c r="E505" s="25"/>
      <c r="F505" s="25"/>
      <c r="G505" s="25"/>
      <c r="H505" s="25"/>
      <c r="I505" s="25"/>
      <c r="J505" s="25"/>
      <c r="K505" s="25"/>
      <c r="L505" s="25"/>
      <c r="M505" s="495"/>
      <c r="N505" s="63"/>
      <c r="O505" s="63"/>
      <c r="P505" s="496"/>
      <c r="Q505" s="497"/>
      <c r="R505" s="63"/>
      <c r="S505" s="498"/>
      <c r="T505" s="63"/>
      <c r="U505" s="63"/>
      <c r="V505" s="499"/>
      <c r="W505" s="499"/>
      <c r="X505" s="63"/>
      <c r="Y505" s="63"/>
      <c r="Z505" s="500"/>
      <c r="AA505" s="63"/>
      <c r="AB505" s="63"/>
      <c r="AC505" s="63"/>
      <c r="AD505" s="63"/>
      <c r="AE505" s="63"/>
      <c r="AF505" s="63"/>
      <c r="AG505" s="63"/>
      <c r="AH505" s="63"/>
      <c r="AI505" s="501"/>
      <c r="AJ505" s="63"/>
      <c r="AK505" s="25"/>
      <c r="AL505" s="25"/>
      <c r="AM505" s="25"/>
    </row>
    <row r="506" ht="14" spans="1:39">
      <c r="A506" s="25"/>
      <c r="B506" s="63"/>
      <c r="C506" s="25"/>
      <c r="D506" s="25"/>
      <c r="E506" s="25"/>
      <c r="F506" s="25"/>
      <c r="G506" s="25"/>
      <c r="H506" s="25"/>
      <c r="I506" s="25"/>
      <c r="J506" s="25"/>
      <c r="K506" s="25"/>
      <c r="L506" s="25"/>
      <c r="M506" s="495"/>
      <c r="N506" s="63"/>
      <c r="O506" s="63"/>
      <c r="P506" s="496"/>
      <c r="Q506" s="497"/>
      <c r="R506" s="63"/>
      <c r="S506" s="498"/>
      <c r="T506" s="63"/>
      <c r="U506" s="63"/>
      <c r="V506" s="499"/>
      <c r="W506" s="499"/>
      <c r="X506" s="63"/>
      <c r="Y506" s="63"/>
      <c r="Z506" s="500"/>
      <c r="AA506" s="63"/>
      <c r="AB506" s="63"/>
      <c r="AC506" s="63"/>
      <c r="AD506" s="63"/>
      <c r="AE506" s="63"/>
      <c r="AF506" s="63"/>
      <c r="AG506" s="63"/>
      <c r="AH506" s="63"/>
      <c r="AI506" s="501"/>
      <c r="AJ506" s="63"/>
      <c r="AK506" s="25"/>
      <c r="AL506" s="25"/>
      <c r="AM506" s="25"/>
    </row>
    <row r="507" ht="14" spans="1:39">
      <c r="A507" s="25"/>
      <c r="B507" s="63"/>
      <c r="C507" s="25"/>
      <c r="D507" s="25"/>
      <c r="E507" s="25"/>
      <c r="F507" s="25"/>
      <c r="G507" s="25"/>
      <c r="H507" s="25"/>
      <c r="I507" s="25"/>
      <c r="J507" s="25"/>
      <c r="K507" s="25"/>
      <c r="L507" s="25"/>
      <c r="M507" s="495"/>
      <c r="N507" s="63"/>
      <c r="O507" s="63"/>
      <c r="P507" s="496"/>
      <c r="Q507" s="497"/>
      <c r="R507" s="63"/>
      <c r="S507" s="498"/>
      <c r="T507" s="63"/>
      <c r="U507" s="63"/>
      <c r="V507" s="499"/>
      <c r="W507" s="499"/>
      <c r="X507" s="63"/>
      <c r="Y507" s="63"/>
      <c r="Z507" s="500"/>
      <c r="AA507" s="63"/>
      <c r="AB507" s="63"/>
      <c r="AC507" s="63"/>
      <c r="AD507" s="63"/>
      <c r="AE507" s="63"/>
      <c r="AF507" s="63"/>
      <c r="AG507" s="63"/>
      <c r="AH507" s="63"/>
      <c r="AI507" s="501"/>
      <c r="AJ507" s="63"/>
      <c r="AK507" s="25"/>
      <c r="AL507" s="25"/>
      <c r="AM507" s="25"/>
    </row>
    <row r="508" ht="14" spans="1:39">
      <c r="A508" s="25"/>
      <c r="B508" s="63"/>
      <c r="C508" s="25"/>
      <c r="D508" s="25"/>
      <c r="E508" s="25"/>
      <c r="F508" s="25"/>
      <c r="G508" s="25"/>
      <c r="H508" s="25"/>
      <c r="I508" s="25"/>
      <c r="J508" s="25"/>
      <c r="K508" s="25"/>
      <c r="L508" s="25"/>
      <c r="M508" s="495"/>
      <c r="N508" s="63"/>
      <c r="O508" s="63"/>
      <c r="P508" s="496"/>
      <c r="Q508" s="497"/>
      <c r="R508" s="63"/>
      <c r="S508" s="498"/>
      <c r="T508" s="63"/>
      <c r="U508" s="63"/>
      <c r="V508" s="499"/>
      <c r="W508" s="499"/>
      <c r="X508" s="63"/>
      <c r="Y508" s="63"/>
      <c r="Z508" s="500"/>
      <c r="AA508" s="63"/>
      <c r="AB508" s="63"/>
      <c r="AC508" s="63"/>
      <c r="AD508" s="63"/>
      <c r="AE508" s="63"/>
      <c r="AF508" s="63"/>
      <c r="AG508" s="63"/>
      <c r="AH508" s="63"/>
      <c r="AI508" s="501"/>
      <c r="AJ508" s="63"/>
      <c r="AK508" s="25"/>
      <c r="AL508" s="25"/>
      <c r="AM508" s="25"/>
    </row>
    <row r="509" ht="14" spans="1:39">
      <c r="A509" s="25"/>
      <c r="B509" s="63"/>
      <c r="C509" s="25"/>
      <c r="D509" s="25"/>
      <c r="E509" s="25"/>
      <c r="F509" s="25"/>
      <c r="G509" s="25"/>
      <c r="H509" s="25"/>
      <c r="I509" s="25"/>
      <c r="J509" s="25"/>
      <c r="K509" s="25"/>
      <c r="L509" s="25"/>
      <c r="M509" s="495"/>
      <c r="N509" s="63"/>
      <c r="O509" s="63"/>
      <c r="P509" s="496"/>
      <c r="Q509" s="497"/>
      <c r="R509" s="63"/>
      <c r="S509" s="498"/>
      <c r="T509" s="63"/>
      <c r="U509" s="63"/>
      <c r="V509" s="499"/>
      <c r="W509" s="499"/>
      <c r="X509" s="63"/>
      <c r="Y509" s="63"/>
      <c r="Z509" s="500"/>
      <c r="AA509" s="63"/>
      <c r="AB509" s="63"/>
      <c r="AC509" s="63"/>
      <c r="AD509" s="63"/>
      <c r="AE509" s="63"/>
      <c r="AF509" s="63"/>
      <c r="AG509" s="63"/>
      <c r="AH509" s="63"/>
      <c r="AI509" s="501"/>
      <c r="AJ509" s="63"/>
      <c r="AK509" s="25"/>
      <c r="AL509" s="25"/>
      <c r="AM509" s="25"/>
    </row>
    <row r="510" ht="14" spans="1:39">
      <c r="A510" s="25"/>
      <c r="B510" s="63"/>
      <c r="C510" s="25"/>
      <c r="D510" s="25"/>
      <c r="E510" s="25"/>
      <c r="F510" s="25"/>
      <c r="G510" s="25"/>
      <c r="H510" s="25"/>
      <c r="I510" s="25"/>
      <c r="J510" s="25"/>
      <c r="K510" s="25"/>
      <c r="L510" s="25"/>
      <c r="M510" s="495"/>
      <c r="N510" s="63"/>
      <c r="O510" s="63"/>
      <c r="P510" s="496"/>
      <c r="Q510" s="497"/>
      <c r="R510" s="63"/>
      <c r="S510" s="498"/>
      <c r="T510" s="63"/>
      <c r="U510" s="63"/>
      <c r="V510" s="499"/>
      <c r="W510" s="499"/>
      <c r="X510" s="63"/>
      <c r="Y510" s="63"/>
      <c r="Z510" s="500"/>
      <c r="AA510" s="63"/>
      <c r="AB510" s="63"/>
      <c r="AC510" s="63"/>
      <c r="AD510" s="63"/>
      <c r="AE510" s="63"/>
      <c r="AF510" s="63"/>
      <c r="AG510" s="63"/>
      <c r="AH510" s="63"/>
      <c r="AI510" s="501"/>
      <c r="AJ510" s="63"/>
      <c r="AK510" s="25"/>
      <c r="AL510" s="25"/>
      <c r="AM510" s="25"/>
    </row>
    <row r="511" ht="14" spans="1:39">
      <c r="A511" s="25"/>
      <c r="B511" s="63"/>
      <c r="C511" s="25"/>
      <c r="D511" s="25"/>
      <c r="E511" s="25"/>
      <c r="F511" s="25"/>
      <c r="G511" s="25"/>
      <c r="H511" s="25"/>
      <c r="I511" s="25"/>
      <c r="J511" s="25"/>
      <c r="K511" s="25"/>
      <c r="L511" s="25"/>
      <c r="M511" s="495"/>
      <c r="N511" s="63"/>
      <c r="O511" s="63"/>
      <c r="P511" s="496"/>
      <c r="Q511" s="497"/>
      <c r="R511" s="63"/>
      <c r="S511" s="498"/>
      <c r="T511" s="63"/>
      <c r="U511" s="63"/>
      <c r="V511" s="499"/>
      <c r="W511" s="499"/>
      <c r="X511" s="63"/>
      <c r="Y511" s="63"/>
      <c r="Z511" s="500"/>
      <c r="AA511" s="63"/>
      <c r="AB511" s="63"/>
      <c r="AC511" s="63"/>
      <c r="AD511" s="63"/>
      <c r="AE511" s="63"/>
      <c r="AF511" s="63"/>
      <c r="AG511" s="63"/>
      <c r="AH511" s="63"/>
      <c r="AI511" s="501"/>
      <c r="AJ511" s="63"/>
      <c r="AK511" s="25"/>
      <c r="AL511" s="25"/>
      <c r="AM511" s="25"/>
    </row>
    <row r="512" ht="14" spans="1:39">
      <c r="A512" s="25"/>
      <c r="B512" s="63"/>
      <c r="C512" s="25"/>
      <c r="D512" s="25"/>
      <c r="E512" s="25"/>
      <c r="F512" s="25"/>
      <c r="G512" s="25"/>
      <c r="H512" s="25"/>
      <c r="I512" s="25"/>
      <c r="J512" s="25"/>
      <c r="K512" s="25"/>
      <c r="L512" s="25"/>
      <c r="M512" s="495"/>
      <c r="N512" s="63"/>
      <c r="O512" s="63"/>
      <c r="P512" s="496"/>
      <c r="Q512" s="497"/>
      <c r="R512" s="63"/>
      <c r="S512" s="498"/>
      <c r="T512" s="63"/>
      <c r="U512" s="63"/>
      <c r="V512" s="499"/>
      <c r="W512" s="499"/>
      <c r="X512" s="63"/>
      <c r="Y512" s="63"/>
      <c r="Z512" s="500"/>
      <c r="AA512" s="63"/>
      <c r="AB512" s="63"/>
      <c r="AC512" s="63"/>
      <c r="AD512" s="63"/>
      <c r="AE512" s="63"/>
      <c r="AF512" s="63"/>
      <c r="AG512" s="63"/>
      <c r="AH512" s="63"/>
      <c r="AI512" s="501"/>
      <c r="AJ512" s="63"/>
      <c r="AK512" s="25"/>
      <c r="AL512" s="25"/>
      <c r="AM512" s="25"/>
    </row>
    <row r="513" ht="14" spans="1:39">
      <c r="A513" s="25"/>
      <c r="B513" s="63"/>
      <c r="C513" s="25"/>
      <c r="D513" s="25"/>
      <c r="E513" s="25"/>
      <c r="F513" s="25"/>
      <c r="G513" s="25"/>
      <c r="H513" s="25"/>
      <c r="I513" s="25"/>
      <c r="J513" s="25"/>
      <c r="K513" s="25"/>
      <c r="L513" s="25"/>
      <c r="M513" s="495"/>
      <c r="N513" s="63"/>
      <c r="O513" s="63"/>
      <c r="P513" s="496"/>
      <c r="Q513" s="497"/>
      <c r="R513" s="63"/>
      <c r="S513" s="498"/>
      <c r="T513" s="63"/>
      <c r="U513" s="63"/>
      <c r="V513" s="499"/>
      <c r="W513" s="499"/>
      <c r="X513" s="63"/>
      <c r="Y513" s="63"/>
      <c r="Z513" s="500"/>
      <c r="AA513" s="63"/>
      <c r="AB513" s="63"/>
      <c r="AC513" s="63"/>
      <c r="AD513" s="63"/>
      <c r="AE513" s="63"/>
      <c r="AF513" s="63"/>
      <c r="AG513" s="63"/>
      <c r="AH513" s="63"/>
      <c r="AI513" s="501"/>
      <c r="AJ513" s="63"/>
      <c r="AK513" s="25"/>
      <c r="AL513" s="25"/>
      <c r="AM513" s="25"/>
    </row>
    <row r="514" ht="14" spans="1:39">
      <c r="A514" s="25"/>
      <c r="B514" s="63"/>
      <c r="C514" s="25"/>
      <c r="D514" s="25"/>
      <c r="E514" s="25"/>
      <c r="F514" s="25"/>
      <c r="G514" s="25"/>
      <c r="H514" s="25"/>
      <c r="I514" s="25"/>
      <c r="J514" s="25"/>
      <c r="K514" s="25"/>
      <c r="L514" s="25"/>
      <c r="M514" s="495"/>
      <c r="N514" s="63"/>
      <c r="O514" s="63"/>
      <c r="P514" s="496"/>
      <c r="Q514" s="497"/>
      <c r="R514" s="63"/>
      <c r="S514" s="498"/>
      <c r="T514" s="63"/>
      <c r="U514" s="63"/>
      <c r="V514" s="499"/>
      <c r="W514" s="499"/>
      <c r="X514" s="63"/>
      <c r="Y514" s="63"/>
      <c r="Z514" s="500"/>
      <c r="AA514" s="63"/>
      <c r="AB514" s="63"/>
      <c r="AC514" s="63"/>
      <c r="AD514" s="63"/>
      <c r="AE514" s="63"/>
      <c r="AF514" s="63"/>
      <c r="AG514" s="63"/>
      <c r="AH514" s="63"/>
      <c r="AI514" s="501"/>
      <c r="AJ514" s="63"/>
      <c r="AK514" s="25"/>
      <c r="AL514" s="25"/>
      <c r="AM514" s="25"/>
    </row>
    <row r="515" ht="14" spans="1:39">
      <c r="A515" s="25"/>
      <c r="B515" s="63"/>
      <c r="C515" s="25"/>
      <c r="D515" s="25"/>
      <c r="E515" s="25"/>
      <c r="F515" s="25"/>
      <c r="G515" s="25"/>
      <c r="H515" s="25"/>
      <c r="I515" s="25"/>
      <c r="J515" s="25"/>
      <c r="K515" s="25"/>
      <c r="L515" s="25"/>
      <c r="M515" s="495"/>
      <c r="N515" s="63"/>
      <c r="O515" s="63"/>
      <c r="P515" s="496"/>
      <c r="Q515" s="497"/>
      <c r="R515" s="63"/>
      <c r="S515" s="498"/>
      <c r="T515" s="63"/>
      <c r="U515" s="63"/>
      <c r="V515" s="499"/>
      <c r="W515" s="499"/>
      <c r="X515" s="63"/>
      <c r="Y515" s="63"/>
      <c r="Z515" s="500"/>
      <c r="AA515" s="63"/>
      <c r="AB515" s="63"/>
      <c r="AC515" s="63"/>
      <c r="AD515" s="63"/>
      <c r="AE515" s="63"/>
      <c r="AF515" s="63"/>
      <c r="AG515" s="63"/>
      <c r="AH515" s="63"/>
      <c r="AI515" s="501"/>
      <c r="AJ515" s="63"/>
      <c r="AK515" s="25"/>
      <c r="AL515" s="25"/>
      <c r="AM515" s="25"/>
    </row>
    <row r="516" ht="14" spans="1:39">
      <c r="A516" s="25"/>
      <c r="B516" s="63"/>
      <c r="C516" s="25"/>
      <c r="D516" s="25"/>
      <c r="E516" s="25"/>
      <c r="F516" s="25"/>
      <c r="G516" s="25"/>
      <c r="H516" s="25"/>
      <c r="I516" s="25"/>
      <c r="J516" s="25"/>
      <c r="K516" s="25"/>
      <c r="L516" s="25"/>
      <c r="M516" s="495"/>
      <c r="N516" s="63"/>
      <c r="O516" s="63"/>
      <c r="P516" s="496"/>
      <c r="Q516" s="497"/>
      <c r="R516" s="63"/>
      <c r="S516" s="498"/>
      <c r="T516" s="63"/>
      <c r="U516" s="63"/>
      <c r="V516" s="499"/>
      <c r="W516" s="499"/>
      <c r="X516" s="63"/>
      <c r="Y516" s="63"/>
      <c r="Z516" s="500"/>
      <c r="AA516" s="63"/>
      <c r="AB516" s="63"/>
      <c r="AC516" s="63"/>
      <c r="AD516" s="63"/>
      <c r="AE516" s="63"/>
      <c r="AF516" s="63"/>
      <c r="AG516" s="63"/>
      <c r="AH516" s="63"/>
      <c r="AI516" s="501"/>
      <c r="AJ516" s="63"/>
      <c r="AK516" s="25"/>
      <c r="AL516" s="25"/>
      <c r="AM516" s="25"/>
    </row>
    <row r="517" ht="14" spans="1:39">
      <c r="A517" s="25"/>
      <c r="B517" s="63"/>
      <c r="C517" s="25"/>
      <c r="D517" s="25"/>
      <c r="E517" s="25"/>
      <c r="F517" s="25"/>
      <c r="G517" s="25"/>
      <c r="H517" s="25"/>
      <c r="I517" s="25"/>
      <c r="J517" s="25"/>
      <c r="K517" s="25"/>
      <c r="L517" s="25"/>
      <c r="M517" s="495"/>
      <c r="N517" s="63"/>
      <c r="O517" s="63"/>
      <c r="P517" s="496"/>
      <c r="Q517" s="497"/>
      <c r="R517" s="63"/>
      <c r="S517" s="498"/>
      <c r="T517" s="63"/>
      <c r="U517" s="63"/>
      <c r="V517" s="499"/>
      <c r="W517" s="499"/>
      <c r="X517" s="63"/>
      <c r="Y517" s="63"/>
      <c r="Z517" s="500"/>
      <c r="AA517" s="63"/>
      <c r="AB517" s="63"/>
      <c r="AC517" s="63"/>
      <c r="AD517" s="63"/>
      <c r="AE517" s="63"/>
      <c r="AF517" s="63"/>
      <c r="AG517" s="63"/>
      <c r="AH517" s="63"/>
      <c r="AI517" s="501"/>
      <c r="AJ517" s="63"/>
      <c r="AK517" s="25"/>
      <c r="AL517" s="25"/>
      <c r="AM517" s="25"/>
    </row>
    <row r="518" ht="14" spans="1:39">
      <c r="A518" s="25"/>
      <c r="B518" s="63"/>
      <c r="C518" s="25"/>
      <c r="D518" s="25"/>
      <c r="E518" s="25"/>
      <c r="F518" s="25"/>
      <c r="G518" s="25"/>
      <c r="H518" s="25"/>
      <c r="I518" s="25"/>
      <c r="J518" s="25"/>
      <c r="K518" s="25"/>
      <c r="L518" s="25"/>
      <c r="M518" s="495"/>
      <c r="N518" s="63"/>
      <c r="O518" s="63"/>
      <c r="P518" s="496"/>
      <c r="Q518" s="497"/>
      <c r="R518" s="63"/>
      <c r="S518" s="498"/>
      <c r="T518" s="63"/>
      <c r="U518" s="63"/>
      <c r="V518" s="499"/>
      <c r="W518" s="499"/>
      <c r="X518" s="63"/>
      <c r="Y518" s="63"/>
      <c r="Z518" s="500"/>
      <c r="AA518" s="63"/>
      <c r="AB518" s="63"/>
      <c r="AC518" s="63"/>
      <c r="AD518" s="63"/>
      <c r="AE518" s="63"/>
      <c r="AF518" s="63"/>
      <c r="AG518" s="63"/>
      <c r="AH518" s="63"/>
      <c r="AI518" s="501"/>
      <c r="AJ518" s="63"/>
      <c r="AK518" s="25"/>
      <c r="AL518" s="25"/>
      <c r="AM518" s="25"/>
    </row>
    <row r="519" ht="14" spans="1:39">
      <c r="A519" s="25"/>
      <c r="B519" s="63"/>
      <c r="C519" s="25"/>
      <c r="D519" s="25"/>
      <c r="E519" s="25"/>
      <c r="F519" s="25"/>
      <c r="G519" s="25"/>
      <c r="H519" s="25"/>
      <c r="I519" s="25"/>
      <c r="J519" s="25"/>
      <c r="K519" s="25"/>
      <c r="L519" s="25"/>
      <c r="M519" s="495"/>
      <c r="N519" s="63"/>
      <c r="O519" s="63"/>
      <c r="P519" s="496"/>
      <c r="Q519" s="497"/>
      <c r="R519" s="63"/>
      <c r="S519" s="498"/>
      <c r="T519" s="63"/>
      <c r="U519" s="63"/>
      <c r="V519" s="499"/>
      <c r="W519" s="499"/>
      <c r="X519" s="63"/>
      <c r="Y519" s="63"/>
      <c r="Z519" s="500"/>
      <c r="AA519" s="63"/>
      <c r="AB519" s="63"/>
      <c r="AC519" s="63"/>
      <c r="AD519" s="63"/>
      <c r="AE519" s="63"/>
      <c r="AF519" s="63"/>
      <c r="AG519" s="63"/>
      <c r="AH519" s="63"/>
      <c r="AI519" s="501"/>
      <c r="AJ519" s="63"/>
      <c r="AK519" s="25"/>
      <c r="AL519" s="25"/>
      <c r="AM519" s="25"/>
    </row>
    <row r="520" ht="14" spans="1:39">
      <c r="A520" s="25"/>
      <c r="B520" s="63"/>
      <c r="C520" s="25"/>
      <c r="D520" s="25"/>
      <c r="E520" s="25"/>
      <c r="F520" s="25"/>
      <c r="G520" s="25"/>
      <c r="H520" s="25"/>
      <c r="I520" s="25"/>
      <c r="J520" s="25"/>
      <c r="K520" s="25"/>
      <c r="L520" s="25"/>
      <c r="M520" s="495"/>
      <c r="N520" s="63"/>
      <c r="O520" s="63"/>
      <c r="P520" s="496"/>
      <c r="Q520" s="497"/>
      <c r="R520" s="63"/>
      <c r="S520" s="498"/>
      <c r="T520" s="63"/>
      <c r="U520" s="63"/>
      <c r="V520" s="499"/>
      <c r="W520" s="499"/>
      <c r="X520" s="63"/>
      <c r="Y520" s="63"/>
      <c r="Z520" s="500"/>
      <c r="AA520" s="63"/>
      <c r="AB520" s="63"/>
      <c r="AC520" s="63"/>
      <c r="AD520" s="63"/>
      <c r="AE520" s="63"/>
      <c r="AF520" s="63"/>
      <c r="AG520" s="63"/>
      <c r="AH520" s="63"/>
      <c r="AI520" s="501"/>
      <c r="AJ520" s="63"/>
      <c r="AK520" s="25"/>
      <c r="AL520" s="25"/>
      <c r="AM520" s="25"/>
    </row>
    <row r="521" ht="14" spans="1:39">
      <c r="A521" s="25"/>
      <c r="B521" s="63"/>
      <c r="C521" s="25"/>
      <c r="D521" s="25"/>
      <c r="E521" s="25"/>
      <c r="F521" s="25"/>
      <c r="G521" s="25"/>
      <c r="H521" s="25"/>
      <c r="I521" s="25"/>
      <c r="J521" s="25"/>
      <c r="K521" s="25"/>
      <c r="L521" s="25"/>
      <c r="M521" s="495"/>
      <c r="N521" s="63"/>
      <c r="O521" s="63"/>
      <c r="P521" s="496"/>
      <c r="Q521" s="497"/>
      <c r="R521" s="63"/>
      <c r="S521" s="498"/>
      <c r="T521" s="63"/>
      <c r="U521" s="63"/>
      <c r="V521" s="499"/>
      <c r="W521" s="499"/>
      <c r="X521" s="63"/>
      <c r="Y521" s="63"/>
      <c r="Z521" s="500"/>
      <c r="AA521" s="63"/>
      <c r="AB521" s="63"/>
      <c r="AC521" s="63"/>
      <c r="AD521" s="63"/>
      <c r="AE521" s="63"/>
      <c r="AF521" s="63"/>
      <c r="AG521" s="63"/>
      <c r="AH521" s="63"/>
      <c r="AI521" s="501"/>
      <c r="AJ521" s="63"/>
      <c r="AK521" s="25"/>
      <c r="AL521" s="25"/>
      <c r="AM521" s="25"/>
    </row>
    <row r="522" ht="14" spans="1:39">
      <c r="A522" s="25"/>
      <c r="B522" s="63"/>
      <c r="C522" s="25"/>
      <c r="D522" s="25"/>
      <c r="E522" s="25"/>
      <c r="F522" s="25"/>
      <c r="G522" s="25"/>
      <c r="H522" s="25"/>
      <c r="I522" s="25"/>
      <c r="J522" s="25"/>
      <c r="K522" s="25"/>
      <c r="L522" s="25"/>
      <c r="M522" s="495"/>
      <c r="N522" s="63"/>
      <c r="O522" s="63"/>
      <c r="P522" s="496"/>
      <c r="Q522" s="497"/>
      <c r="R522" s="63"/>
      <c r="S522" s="498"/>
      <c r="T522" s="63"/>
      <c r="U522" s="63"/>
      <c r="V522" s="499"/>
      <c r="W522" s="499"/>
      <c r="X522" s="63"/>
      <c r="Y522" s="63"/>
      <c r="Z522" s="500"/>
      <c r="AA522" s="63"/>
      <c r="AB522" s="63"/>
      <c r="AC522" s="63"/>
      <c r="AD522" s="63"/>
      <c r="AE522" s="63"/>
      <c r="AF522" s="63"/>
      <c r="AG522" s="63"/>
      <c r="AH522" s="63"/>
      <c r="AI522" s="501"/>
      <c r="AJ522" s="63"/>
      <c r="AK522" s="25"/>
      <c r="AL522" s="25"/>
      <c r="AM522" s="25"/>
    </row>
    <row r="523" ht="14" spans="1:39">
      <c r="A523" s="25"/>
      <c r="B523" s="63"/>
      <c r="C523" s="25"/>
      <c r="D523" s="25"/>
      <c r="E523" s="25"/>
      <c r="F523" s="25"/>
      <c r="G523" s="25"/>
      <c r="H523" s="25"/>
      <c r="I523" s="25"/>
      <c r="J523" s="25"/>
      <c r="K523" s="25"/>
      <c r="L523" s="25"/>
      <c r="M523" s="495"/>
      <c r="N523" s="63"/>
      <c r="O523" s="63"/>
      <c r="P523" s="496"/>
      <c r="Q523" s="497"/>
      <c r="R523" s="63"/>
      <c r="S523" s="498"/>
      <c r="T523" s="63"/>
      <c r="U523" s="63"/>
      <c r="V523" s="499"/>
      <c r="W523" s="499"/>
      <c r="X523" s="63"/>
      <c r="Y523" s="63"/>
      <c r="Z523" s="500"/>
      <c r="AA523" s="63"/>
      <c r="AB523" s="63"/>
      <c r="AC523" s="63"/>
      <c r="AD523" s="63"/>
      <c r="AE523" s="63"/>
      <c r="AF523" s="63"/>
      <c r="AG523" s="63"/>
      <c r="AH523" s="63"/>
      <c r="AI523" s="501"/>
      <c r="AJ523" s="63"/>
      <c r="AK523" s="25"/>
      <c r="AL523" s="25"/>
      <c r="AM523" s="25"/>
    </row>
    <row r="524" ht="14" spans="1:39">
      <c r="A524" s="25"/>
      <c r="B524" s="63"/>
      <c r="C524" s="25"/>
      <c r="D524" s="25"/>
      <c r="E524" s="25"/>
      <c r="F524" s="25"/>
      <c r="G524" s="25"/>
      <c r="H524" s="25"/>
      <c r="I524" s="25"/>
      <c r="J524" s="25"/>
      <c r="K524" s="25"/>
      <c r="L524" s="25"/>
      <c r="M524" s="495"/>
      <c r="N524" s="63"/>
      <c r="O524" s="63"/>
      <c r="P524" s="496"/>
      <c r="Q524" s="497"/>
      <c r="R524" s="63"/>
      <c r="S524" s="498"/>
      <c r="T524" s="63"/>
      <c r="U524" s="63"/>
      <c r="V524" s="499"/>
      <c r="W524" s="499"/>
      <c r="X524" s="63"/>
      <c r="Y524" s="63"/>
      <c r="Z524" s="500"/>
      <c r="AA524" s="63"/>
      <c r="AB524" s="63"/>
      <c r="AC524" s="63"/>
      <c r="AD524" s="63"/>
      <c r="AE524" s="63"/>
      <c r="AF524" s="63"/>
      <c r="AG524" s="63"/>
      <c r="AH524" s="63"/>
      <c r="AI524" s="501"/>
      <c r="AJ524" s="63"/>
      <c r="AK524" s="25"/>
      <c r="AL524" s="25"/>
      <c r="AM524" s="25"/>
    </row>
    <row r="525" ht="14" spans="1:39">
      <c r="A525" s="25"/>
      <c r="B525" s="63"/>
      <c r="C525" s="25"/>
      <c r="D525" s="25"/>
      <c r="E525" s="25"/>
      <c r="F525" s="25"/>
      <c r="G525" s="25"/>
      <c r="H525" s="25"/>
      <c r="I525" s="25"/>
      <c r="J525" s="25"/>
      <c r="K525" s="25"/>
      <c r="L525" s="25"/>
      <c r="M525" s="495"/>
      <c r="N525" s="63"/>
      <c r="O525" s="63"/>
      <c r="P525" s="496"/>
      <c r="Q525" s="497"/>
      <c r="R525" s="63"/>
      <c r="S525" s="498"/>
      <c r="T525" s="63"/>
      <c r="U525" s="63"/>
      <c r="V525" s="499"/>
      <c r="W525" s="499"/>
      <c r="X525" s="63"/>
      <c r="Y525" s="63"/>
      <c r="Z525" s="500"/>
      <c r="AA525" s="63"/>
      <c r="AB525" s="63"/>
      <c r="AC525" s="63"/>
      <c r="AD525" s="63"/>
      <c r="AE525" s="63"/>
      <c r="AF525" s="63"/>
      <c r="AG525" s="63"/>
      <c r="AH525" s="63"/>
      <c r="AI525" s="501"/>
      <c r="AJ525" s="63"/>
      <c r="AK525" s="25"/>
      <c r="AL525" s="25"/>
      <c r="AM525" s="25"/>
    </row>
    <row r="526" ht="14" spans="1:39">
      <c r="A526" s="25"/>
      <c r="B526" s="63"/>
      <c r="C526" s="25"/>
      <c r="D526" s="25"/>
      <c r="E526" s="25"/>
      <c r="F526" s="25"/>
      <c r="G526" s="25"/>
      <c r="H526" s="25"/>
      <c r="I526" s="25"/>
      <c r="J526" s="25"/>
      <c r="K526" s="25"/>
      <c r="L526" s="25"/>
      <c r="M526" s="495"/>
      <c r="N526" s="63"/>
      <c r="O526" s="63"/>
      <c r="P526" s="496"/>
      <c r="Q526" s="497"/>
      <c r="R526" s="63"/>
      <c r="S526" s="498"/>
      <c r="T526" s="63"/>
      <c r="U526" s="63"/>
      <c r="V526" s="499"/>
      <c r="W526" s="499"/>
      <c r="X526" s="63"/>
      <c r="Y526" s="63"/>
      <c r="Z526" s="500"/>
      <c r="AA526" s="63"/>
      <c r="AB526" s="63"/>
      <c r="AC526" s="63"/>
      <c r="AD526" s="63"/>
      <c r="AE526" s="63"/>
      <c r="AF526" s="63"/>
      <c r="AG526" s="63"/>
      <c r="AH526" s="63"/>
      <c r="AI526" s="501"/>
      <c r="AJ526" s="63"/>
      <c r="AK526" s="25"/>
      <c r="AL526" s="25"/>
      <c r="AM526" s="25"/>
    </row>
    <row r="527" ht="14" spans="1:39">
      <c r="A527" s="25"/>
      <c r="B527" s="63"/>
      <c r="C527" s="25"/>
      <c r="D527" s="25"/>
      <c r="E527" s="25"/>
      <c r="F527" s="25"/>
      <c r="G527" s="25"/>
      <c r="H527" s="25"/>
      <c r="I527" s="25"/>
      <c r="J527" s="25"/>
      <c r="K527" s="25"/>
      <c r="L527" s="25"/>
      <c r="M527" s="495"/>
      <c r="N527" s="63"/>
      <c r="O527" s="63"/>
      <c r="P527" s="496"/>
      <c r="Q527" s="497"/>
      <c r="R527" s="63"/>
      <c r="S527" s="498"/>
      <c r="T527" s="63"/>
      <c r="U527" s="63"/>
      <c r="V527" s="499"/>
      <c r="W527" s="499"/>
      <c r="X527" s="63"/>
      <c r="Y527" s="63"/>
      <c r="Z527" s="500"/>
      <c r="AA527" s="63"/>
      <c r="AB527" s="63"/>
      <c r="AC527" s="63"/>
      <c r="AD527" s="63"/>
      <c r="AE527" s="63"/>
      <c r="AF527" s="63"/>
      <c r="AG527" s="63"/>
      <c r="AH527" s="63"/>
      <c r="AI527" s="501"/>
      <c r="AJ527" s="63"/>
      <c r="AK527" s="25"/>
      <c r="AL527" s="25"/>
      <c r="AM527" s="25"/>
    </row>
  </sheetData>
  <autoFilter xmlns:etc="http://www.wps.cn/officeDocument/2017/etCustomData" ref="A1:AN132" etc:filterBottomFollowUsedRange="0">
    <filterColumn colId="13">
      <filters>
        <filter val="应收"/>
        <filter val="项目当前问题"/>
        <filter val="背靠背应收、项目停滞"/>
        <filter val="回款逾期"/>
        <filter val="垫资回款逾期"/>
      </filters>
    </filterColumn>
    <extLst/>
  </autoFilter>
  <mergeCells count="37">
    <mergeCell ref="B1:L1"/>
    <mergeCell ref="M1:N1"/>
    <mergeCell ref="O1:T1"/>
    <mergeCell ref="U1:AA1"/>
    <mergeCell ref="AB1:AF1"/>
    <mergeCell ref="AG1:AJ1"/>
    <mergeCell ref="AK1:AM1"/>
    <mergeCell ref="D10:D18"/>
    <mergeCell ref="D21:D23"/>
    <mergeCell ref="D35:D38"/>
    <mergeCell ref="D39:D40"/>
    <mergeCell ref="D52:D54"/>
    <mergeCell ref="E10:E18"/>
    <mergeCell ref="E21:E23"/>
    <mergeCell ref="E35:E38"/>
    <mergeCell ref="E39:E40"/>
    <mergeCell ref="E53:E54"/>
    <mergeCell ref="E57:E59"/>
    <mergeCell ref="E60:E72"/>
    <mergeCell ref="E73:E79"/>
    <mergeCell ref="F21:F23"/>
    <mergeCell ref="G10:G18"/>
    <mergeCell ref="G21:G23"/>
    <mergeCell ref="G35:G38"/>
    <mergeCell ref="G39:G40"/>
    <mergeCell ref="M10:M18"/>
    <mergeCell ref="M21:M23"/>
    <mergeCell ref="M57:M59"/>
    <mergeCell ref="M60:M79"/>
    <mergeCell ref="N10:N18"/>
    <mergeCell ref="N21:N23"/>
    <mergeCell ref="AH85:AH86"/>
    <mergeCell ref="AI57:AI59"/>
    <mergeCell ref="AI85:AI86"/>
    <mergeCell ref="AJ57:AJ59"/>
    <mergeCell ref="AJ85:AJ86"/>
    <mergeCell ref="AM10:AM16"/>
  </mergeCells>
  <dataValidations count="5">
    <dataValidation type="list" allowBlank="1" showErrorMessage="1" sqref="K29 K3:K4 K19:K20">
      <formula1>"纯外购软硬件不满足管控要求,纯第三方采购,纯技术转包,垫资,多层分包,亏损"</formula1>
    </dataValidation>
    <dataValidation type="list" allowBlank="1" showErrorMessage="1" sqref="AG31 AG51 AG3:AG8 AG10:AG19 AG21:AG26 AG28:AG29 AG44:AG48 AG53:AG55 AG57:AG79 AG83:AG86 AG88:AG96 AG98:AG114 AG116:AG121 AG123:AG124 AG126:AG127 AG129:AG527">
      <formula1>"不涉及采购,已签,待签"</formula1>
    </dataValidation>
    <dataValidation type="list" allowBlank="1" showErrorMessage="1" sqref="B128 B3:B44 B46:B125">
      <formula1>"跟踪中,跟踪结束,尚未开始跟踪"</formula1>
    </dataValidation>
    <dataValidation type="list" allowBlank="1" showErrorMessage="1" sqref="L3:L44">
      <formula1>"垫资,垫资风险,无"</formula1>
    </dataValidation>
    <dataValidation type="list" allowBlank="1" showErrorMessage="1" sqref="R3:R54">
      <formula1>"已大签,未大签,取消"</formula1>
    </dataValidation>
  </dataValidations>
  <pageMargins left="0.75" right="0.75" top="1" bottom="1" header="0.5" footer="0.5"/>
  <headerFooter/>
  <legacyDrawing r:id="rId2"/>
  <picture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52"/>
  <sheetViews>
    <sheetView workbookViewId="0">
      <pane ySplit="1" topLeftCell="A2" activePane="bottomLeft" state="frozen"/>
      <selection/>
      <selection pane="bottomLeft" activeCell="A1" sqref="A1"/>
    </sheetView>
  </sheetViews>
  <sheetFormatPr defaultColWidth="14" defaultRowHeight="13"/>
  <cols>
    <col min="1" max="1" width="4" customWidth="1"/>
    <col min="2" max="2" width="6" customWidth="1"/>
    <col min="3" max="3" width="18" customWidth="1"/>
    <col min="4" max="4" width="48" customWidth="1"/>
    <col min="5" max="5" width="29" customWidth="1"/>
    <col min="6" max="6" width="26" customWidth="1"/>
    <col min="7" max="7" width="39" customWidth="1"/>
    <col min="8" max="8" width="14" customWidth="1"/>
    <col min="9" max="9" width="11" customWidth="1"/>
    <col min="10" max="10" width="12" customWidth="1"/>
    <col min="11" max="11" width="27" customWidth="1"/>
    <col min="12" max="12" width="23" customWidth="1"/>
    <col min="13" max="13" width="10" customWidth="1"/>
    <col min="14" max="14" width="128" customWidth="1"/>
    <col min="15" max="15" width="26" customWidth="1"/>
    <col min="16" max="20" width="10" customWidth="1"/>
  </cols>
  <sheetData>
    <row r="1" ht="26" customHeight="1" spans="1:15">
      <c r="A1" s="40" t="s">
        <v>64</v>
      </c>
      <c r="B1" s="40" t="s">
        <v>1</v>
      </c>
      <c r="C1" s="42" t="s">
        <v>66</v>
      </c>
      <c r="D1" s="52" t="s">
        <v>67</v>
      </c>
      <c r="E1" s="52" t="s">
        <v>68</v>
      </c>
      <c r="F1" s="52" t="s">
        <v>69</v>
      </c>
      <c r="G1" s="52" t="s">
        <v>70</v>
      </c>
      <c r="H1" s="53" t="s">
        <v>1064</v>
      </c>
      <c r="I1" s="52" t="s">
        <v>1065</v>
      </c>
      <c r="J1" s="54" t="s">
        <v>1066</v>
      </c>
      <c r="K1" s="54" t="s">
        <v>1067</v>
      </c>
      <c r="L1" s="55" t="s">
        <v>1068</v>
      </c>
      <c r="M1" s="54" t="s">
        <v>1069</v>
      </c>
      <c r="N1" s="54" t="s">
        <v>1070</v>
      </c>
      <c r="O1" s="56" t="s">
        <v>37</v>
      </c>
    </row>
    <row r="2" ht="18" customHeight="1" spans="1:15">
      <c r="A2" s="57">
        <v>1</v>
      </c>
      <c r="B2" s="57" t="s">
        <v>5</v>
      </c>
      <c r="C2" s="57" t="s">
        <v>732</v>
      </c>
      <c r="D2" s="57" t="s">
        <v>1071</v>
      </c>
      <c r="E2" s="57" t="s">
        <v>1072</v>
      </c>
      <c r="F2" s="57" t="s">
        <v>1073</v>
      </c>
      <c r="G2" s="57" t="s">
        <v>336</v>
      </c>
      <c r="H2" s="58">
        <v>180000</v>
      </c>
      <c r="I2" s="59">
        <v>0.2815</v>
      </c>
      <c r="J2" s="60">
        <v>45259</v>
      </c>
      <c r="K2" s="57" t="s">
        <v>1074</v>
      </c>
      <c r="L2" s="57">
        <v>20231129577</v>
      </c>
      <c r="M2" s="57" t="s">
        <v>1075</v>
      </c>
      <c r="N2" s="57" t="s">
        <v>1076</v>
      </c>
    </row>
    <row r="3" ht="18" customHeight="1" spans="1:15">
      <c r="A3" s="57">
        <v>2</v>
      </c>
      <c r="B3" s="57" t="s">
        <v>5</v>
      </c>
      <c r="C3" s="57" t="s">
        <v>732</v>
      </c>
      <c r="D3" s="57" t="s">
        <v>1077</v>
      </c>
      <c r="E3" s="57" t="s">
        <v>1078</v>
      </c>
      <c r="F3" s="57" t="s">
        <v>1079</v>
      </c>
      <c r="G3" s="57" t="s">
        <v>336</v>
      </c>
      <c r="H3" s="58">
        <v>3964740</v>
      </c>
      <c r="I3" s="59">
        <v>0.1498</v>
      </c>
      <c r="J3" s="60">
        <v>45280</v>
      </c>
      <c r="K3" s="57" t="s">
        <v>1080</v>
      </c>
      <c r="L3" s="57">
        <v>20231220924</v>
      </c>
      <c r="M3" s="57" t="s">
        <v>1075</v>
      </c>
      <c r="N3" s="57" t="s">
        <v>1081</v>
      </c>
    </row>
    <row r="4" ht="18" customHeight="1" spans="1:15">
      <c r="A4" s="57">
        <v>3</v>
      </c>
      <c r="B4" s="57" t="s">
        <v>5</v>
      </c>
      <c r="C4" s="57" t="s">
        <v>732</v>
      </c>
      <c r="D4" s="57" t="s">
        <v>1082</v>
      </c>
      <c r="E4" s="57" t="s">
        <v>1083</v>
      </c>
      <c r="F4" s="57" t="s">
        <v>1084</v>
      </c>
      <c r="G4" s="57" t="s">
        <v>336</v>
      </c>
      <c r="H4" s="58">
        <v>1970000</v>
      </c>
      <c r="I4" s="59">
        <v>0.1616</v>
      </c>
      <c r="J4" s="60">
        <v>45281</v>
      </c>
      <c r="K4" s="57" t="s">
        <v>1085</v>
      </c>
      <c r="L4" s="57">
        <v>20231221937</v>
      </c>
      <c r="M4" s="57" t="s">
        <v>1075</v>
      </c>
      <c r="N4" s="57" t="s">
        <v>1086</v>
      </c>
    </row>
    <row r="5" ht="18" customHeight="1" spans="1:15">
      <c r="A5" s="57">
        <v>4</v>
      </c>
      <c r="B5" s="57" t="s">
        <v>5</v>
      </c>
      <c r="C5" s="57" t="s">
        <v>1087</v>
      </c>
      <c r="D5" s="57" t="s">
        <v>1088</v>
      </c>
      <c r="E5" s="57" t="s">
        <v>1089</v>
      </c>
      <c r="F5" s="57" t="s">
        <v>1089</v>
      </c>
      <c r="G5" s="57" t="s">
        <v>336</v>
      </c>
      <c r="H5" s="58">
        <v>15900000</v>
      </c>
      <c r="I5" s="59">
        <v>0.1515</v>
      </c>
      <c r="J5" s="60">
        <v>45285</v>
      </c>
      <c r="K5" s="57" t="s">
        <v>1090</v>
      </c>
      <c r="L5" s="57">
        <v>20231225994</v>
      </c>
      <c r="M5" s="57" t="s">
        <v>1075</v>
      </c>
      <c r="N5" s="57" t="s">
        <v>1091</v>
      </c>
    </row>
    <row r="6" ht="18" customHeight="1" spans="1:15">
      <c r="A6" s="57">
        <v>5</v>
      </c>
      <c r="B6" s="57" t="s">
        <v>5</v>
      </c>
      <c r="C6" s="57" t="s">
        <v>1092</v>
      </c>
      <c r="D6" s="57" t="s">
        <v>1093</v>
      </c>
      <c r="E6" s="57" t="s">
        <v>1094</v>
      </c>
      <c r="F6" s="57" t="s">
        <v>1095</v>
      </c>
      <c r="G6" s="57" t="s">
        <v>1096</v>
      </c>
      <c r="H6" s="58">
        <v>530000</v>
      </c>
      <c r="I6" s="59">
        <v>0.2524</v>
      </c>
      <c r="J6" s="60">
        <v>45239</v>
      </c>
      <c r="K6" s="57" t="s">
        <v>1097</v>
      </c>
      <c r="L6" s="57">
        <v>20231102162</v>
      </c>
      <c r="M6" s="57" t="s">
        <v>1098</v>
      </c>
      <c r="N6" s="57" t="s">
        <v>1099</v>
      </c>
    </row>
    <row r="7" ht="18" customHeight="1" spans="1:15">
      <c r="A7" s="57">
        <v>6</v>
      </c>
      <c r="B7" s="57" t="s">
        <v>5</v>
      </c>
      <c r="C7" s="57" t="s">
        <v>1100</v>
      </c>
      <c r="D7" s="57" t="s">
        <v>1101</v>
      </c>
      <c r="E7" s="57" t="s">
        <v>1102</v>
      </c>
      <c r="F7" s="57" t="s">
        <v>1103</v>
      </c>
      <c r="G7" s="57" t="s">
        <v>336</v>
      </c>
      <c r="H7" s="58">
        <v>5000000</v>
      </c>
      <c r="I7" s="59">
        <v>0.3455</v>
      </c>
      <c r="J7" s="60">
        <v>45289</v>
      </c>
      <c r="K7" s="57" t="s">
        <v>1104</v>
      </c>
      <c r="L7" s="57">
        <v>20231228071</v>
      </c>
      <c r="M7" s="57" t="s">
        <v>1105</v>
      </c>
      <c r="N7" s="57" t="s">
        <v>1106</v>
      </c>
    </row>
    <row r="8" ht="18" customHeight="1" spans="1:15">
      <c r="A8" s="57">
        <v>7</v>
      </c>
      <c r="B8" s="57" t="s">
        <v>7</v>
      </c>
      <c r="C8" s="57" t="s">
        <v>1107</v>
      </c>
      <c r="D8" s="57" t="s">
        <v>1108</v>
      </c>
      <c r="E8" s="57" t="s">
        <v>1078</v>
      </c>
      <c r="F8" s="57" t="s">
        <v>1109</v>
      </c>
      <c r="G8" s="57" t="s">
        <v>1110</v>
      </c>
      <c r="H8" s="58">
        <v>1100000</v>
      </c>
      <c r="I8" s="59">
        <v>0.05</v>
      </c>
      <c r="J8" s="60">
        <v>45287</v>
      </c>
      <c r="K8" s="57" t="s">
        <v>1111</v>
      </c>
      <c r="L8" s="57">
        <v>20231226018</v>
      </c>
      <c r="M8" s="57" t="s">
        <v>1112</v>
      </c>
      <c r="N8" s="57" t="s">
        <v>1113</v>
      </c>
    </row>
    <row r="9" ht="18" customHeight="1" spans="1:15">
      <c r="A9" s="57">
        <v>8</v>
      </c>
      <c r="B9" s="57" t="s">
        <v>6</v>
      </c>
      <c r="C9" s="57" t="s">
        <v>1114</v>
      </c>
      <c r="D9" s="57" t="s">
        <v>1115</v>
      </c>
      <c r="E9" s="57" t="s">
        <v>1116</v>
      </c>
      <c r="F9" s="57" t="s">
        <v>1103</v>
      </c>
      <c r="G9" s="57" t="s">
        <v>336</v>
      </c>
      <c r="H9" s="58">
        <v>1510500</v>
      </c>
      <c r="I9" s="59">
        <v>0.16</v>
      </c>
      <c r="J9" s="60">
        <v>45257</v>
      </c>
      <c r="K9" s="57" t="s">
        <v>1117</v>
      </c>
      <c r="L9" s="57">
        <v>20231124466</v>
      </c>
      <c r="M9" s="57" t="s">
        <v>1118</v>
      </c>
      <c r="N9" s="57" t="s">
        <v>1119</v>
      </c>
    </row>
    <row r="10" ht="18" customHeight="1" spans="1:15">
      <c r="A10" s="57">
        <v>10</v>
      </c>
      <c r="B10" s="57" t="s">
        <v>10</v>
      </c>
      <c r="C10" s="57" t="s">
        <v>130</v>
      </c>
      <c r="D10" s="57" t="s">
        <v>1120</v>
      </c>
      <c r="E10" s="57" t="s">
        <v>1121</v>
      </c>
      <c r="F10" s="57" t="s">
        <v>1122</v>
      </c>
      <c r="G10" s="57" t="s">
        <v>336</v>
      </c>
      <c r="H10" s="58">
        <v>139008</v>
      </c>
      <c r="I10" s="59">
        <v>1</v>
      </c>
      <c r="J10" s="60">
        <v>45365</v>
      </c>
      <c r="K10" s="57" t="s">
        <v>1123</v>
      </c>
      <c r="L10" s="57">
        <v>20240314899</v>
      </c>
      <c r="M10" s="57" t="s">
        <v>1118</v>
      </c>
      <c r="N10" s="57" t="s">
        <v>1124</v>
      </c>
    </row>
    <row r="11" ht="18" customHeight="1" spans="1:15">
      <c r="A11" s="57">
        <v>11</v>
      </c>
      <c r="B11" s="57" t="s">
        <v>5</v>
      </c>
      <c r="C11" s="57" t="s">
        <v>732</v>
      </c>
      <c r="D11" s="57" t="s">
        <v>1125</v>
      </c>
      <c r="E11" s="57" t="s">
        <v>1126</v>
      </c>
      <c r="F11" s="57" t="s">
        <v>1127</v>
      </c>
      <c r="G11" s="57" t="s">
        <v>336</v>
      </c>
      <c r="H11" s="58">
        <v>915887.7</v>
      </c>
      <c r="I11" s="59">
        <v>0.3191</v>
      </c>
      <c r="J11" s="60">
        <v>45448</v>
      </c>
      <c r="K11" s="57" t="s">
        <v>1128</v>
      </c>
      <c r="L11" s="57">
        <v>20240529158</v>
      </c>
      <c r="M11" s="57" t="s">
        <v>1075</v>
      </c>
      <c r="N11" s="57" t="s">
        <v>1129</v>
      </c>
    </row>
    <row r="12" ht="18" customHeight="1" spans="1:15">
      <c r="A12" s="57">
        <v>12</v>
      </c>
      <c r="B12" s="57" t="s">
        <v>5</v>
      </c>
      <c r="C12" s="57" t="s">
        <v>732</v>
      </c>
      <c r="D12" s="57" t="s">
        <v>1130</v>
      </c>
      <c r="E12" s="57" t="s">
        <v>954</v>
      </c>
      <c r="F12" s="57" t="s">
        <v>1131</v>
      </c>
      <c r="G12" s="57" t="s">
        <v>336</v>
      </c>
      <c r="H12" s="58">
        <v>2740000</v>
      </c>
      <c r="I12" s="59">
        <v>0.28</v>
      </c>
      <c r="J12" s="60">
        <v>45464</v>
      </c>
      <c r="K12" s="57" t="s">
        <v>1132</v>
      </c>
      <c r="L12" s="57">
        <v>20240615469</v>
      </c>
      <c r="M12" s="57" t="s">
        <v>1075</v>
      </c>
      <c r="N12" s="57" t="s">
        <v>1133</v>
      </c>
    </row>
    <row r="13" ht="18" customHeight="1" spans="1:15">
      <c r="A13" s="57">
        <v>13</v>
      </c>
      <c r="B13" s="57" t="s">
        <v>6</v>
      </c>
      <c r="C13" s="57" t="s">
        <v>1134</v>
      </c>
      <c r="D13" s="57" t="s">
        <v>1135</v>
      </c>
      <c r="E13" s="57" t="s">
        <v>1136</v>
      </c>
      <c r="F13" s="57" t="s">
        <v>1136</v>
      </c>
      <c r="G13" s="57" t="s">
        <v>336</v>
      </c>
      <c r="H13" s="58">
        <v>3198688.04</v>
      </c>
      <c r="I13" s="59">
        <v>0.3</v>
      </c>
      <c r="J13" s="60">
        <v>45250</v>
      </c>
      <c r="K13" s="57" t="s">
        <v>1137</v>
      </c>
      <c r="L13" s="57" t="s">
        <v>1138</v>
      </c>
      <c r="M13" s="57" t="s">
        <v>1139</v>
      </c>
      <c r="N13" s="57" t="s">
        <v>1140</v>
      </c>
    </row>
    <row r="14" ht="18" customHeight="1" spans="1:15">
      <c r="A14" s="57">
        <v>14</v>
      </c>
      <c r="B14" s="57" t="s">
        <v>6</v>
      </c>
      <c r="C14" s="57" t="s">
        <v>1141</v>
      </c>
      <c r="D14" s="57" t="s">
        <v>1142</v>
      </c>
      <c r="E14" s="57" t="s">
        <v>1143</v>
      </c>
      <c r="F14" s="57" t="s">
        <v>1144</v>
      </c>
      <c r="G14" s="57" t="s">
        <v>336</v>
      </c>
      <c r="H14" s="58">
        <v>390000</v>
      </c>
      <c r="I14" s="59">
        <v>0.3</v>
      </c>
      <c r="J14" s="60">
        <v>45250</v>
      </c>
      <c r="K14" s="57" t="s">
        <v>1145</v>
      </c>
      <c r="L14" s="57" t="s">
        <v>1138</v>
      </c>
      <c r="M14" s="57" t="s">
        <v>1139</v>
      </c>
      <c r="N14" s="57" t="s">
        <v>1146</v>
      </c>
    </row>
    <row r="15" ht="18" customHeight="1" spans="1:15">
      <c r="A15" s="57">
        <v>15</v>
      </c>
      <c r="B15" s="57" t="s">
        <v>6</v>
      </c>
      <c r="C15" s="57" t="s">
        <v>1141</v>
      </c>
      <c r="D15" s="57" t="s">
        <v>1147</v>
      </c>
      <c r="E15" s="57" t="s">
        <v>1143</v>
      </c>
      <c r="F15" s="57" t="s">
        <v>1148</v>
      </c>
      <c r="G15" s="57" t="s">
        <v>336</v>
      </c>
      <c r="H15" s="58">
        <v>443134.27</v>
      </c>
      <c r="I15" s="59">
        <v>0.3</v>
      </c>
      <c r="J15" s="60">
        <v>45250</v>
      </c>
      <c r="K15" s="57" t="s">
        <v>1149</v>
      </c>
      <c r="L15" s="57" t="s">
        <v>1138</v>
      </c>
      <c r="M15" s="57" t="s">
        <v>1139</v>
      </c>
      <c r="N15" s="57" t="s">
        <v>1150</v>
      </c>
    </row>
    <row r="16" ht="18" customHeight="1" spans="1:15">
      <c r="A16" s="57">
        <v>16</v>
      </c>
      <c r="B16" s="57" t="s">
        <v>6</v>
      </c>
      <c r="C16" s="57" t="s">
        <v>1151</v>
      </c>
      <c r="D16" s="57" t="s">
        <v>1152</v>
      </c>
      <c r="E16" s="57" t="s">
        <v>1153</v>
      </c>
      <c r="F16" s="57" t="s">
        <v>1154</v>
      </c>
      <c r="G16" s="57" t="s">
        <v>336</v>
      </c>
      <c r="H16" s="58">
        <v>603620</v>
      </c>
      <c r="I16" s="59">
        <v>0.2516</v>
      </c>
      <c r="J16" s="60">
        <v>45489</v>
      </c>
      <c r="K16" s="57" t="s">
        <v>1155</v>
      </c>
      <c r="L16" s="57">
        <v>20240716046</v>
      </c>
      <c r="M16" s="57" t="s">
        <v>1156</v>
      </c>
      <c r="N16" s="57" t="s">
        <v>1157</v>
      </c>
    </row>
    <row r="17" ht="18" customHeight="1" spans="1:15">
      <c r="A17" s="57">
        <v>17</v>
      </c>
      <c r="B17" s="57" t="s">
        <v>10</v>
      </c>
      <c r="C17" s="57" t="s">
        <v>1158</v>
      </c>
      <c r="D17" s="57" t="s">
        <v>1159</v>
      </c>
      <c r="E17" s="57" t="s">
        <v>1160</v>
      </c>
      <c r="F17" s="57" t="s">
        <v>1161</v>
      </c>
      <c r="G17" s="57" t="s">
        <v>336</v>
      </c>
      <c r="H17" s="58">
        <v>236500</v>
      </c>
      <c r="I17" s="59">
        <v>0.1346</v>
      </c>
      <c r="J17" s="60">
        <v>45439</v>
      </c>
      <c r="K17" s="57" t="s">
        <v>1162</v>
      </c>
      <c r="L17" s="57">
        <v>20240527125</v>
      </c>
      <c r="M17" s="57" t="s">
        <v>1163</v>
      </c>
      <c r="N17" s="57" t="s">
        <v>1164</v>
      </c>
    </row>
    <row r="18" ht="18" customHeight="1" spans="1:15">
      <c r="A18" s="57">
        <v>18</v>
      </c>
      <c r="B18" s="57" t="s">
        <v>5</v>
      </c>
      <c r="C18" s="57" t="s">
        <v>1165</v>
      </c>
      <c r="D18" s="57" t="s">
        <v>1166</v>
      </c>
      <c r="E18" s="57" t="s">
        <v>1167</v>
      </c>
      <c r="F18" s="57" t="s">
        <v>1168</v>
      </c>
      <c r="G18" s="57" t="s">
        <v>1096</v>
      </c>
      <c r="H18" s="58">
        <v>85000</v>
      </c>
      <c r="I18" s="59">
        <v>0.15</v>
      </c>
      <c r="J18" s="60">
        <v>45531</v>
      </c>
      <c r="K18" s="57" t="s">
        <v>1169</v>
      </c>
      <c r="L18" s="57">
        <v>20240827790</v>
      </c>
      <c r="M18" s="57" t="s">
        <v>1098</v>
      </c>
      <c r="N18" s="57" t="s">
        <v>1170</v>
      </c>
    </row>
    <row r="19" ht="18" customHeight="1" spans="1:15">
      <c r="A19" s="57">
        <v>19</v>
      </c>
      <c r="B19" s="57" t="s">
        <v>5</v>
      </c>
      <c r="C19" s="57" t="s">
        <v>1087</v>
      </c>
      <c r="D19" s="57" t="s">
        <v>1171</v>
      </c>
      <c r="E19" s="57" t="s">
        <v>1072</v>
      </c>
      <c r="F19" s="57" t="s">
        <v>1172</v>
      </c>
      <c r="G19" s="57" t="s">
        <v>336</v>
      </c>
      <c r="H19" s="58" t="s">
        <v>1173</v>
      </c>
      <c r="I19" s="59">
        <v>0.1555</v>
      </c>
      <c r="J19" s="60">
        <v>45510</v>
      </c>
      <c r="K19" s="57" t="s">
        <v>1174</v>
      </c>
      <c r="L19" s="57">
        <v>20240729253</v>
      </c>
      <c r="M19" s="57" t="s">
        <v>1075</v>
      </c>
      <c r="N19" s="57" t="s">
        <v>1175</v>
      </c>
      <c r="O19" s="56"/>
    </row>
    <row r="20" ht="18" customHeight="1" spans="1:15">
      <c r="A20" s="57">
        <v>20</v>
      </c>
      <c r="B20" s="57" t="s">
        <v>1176</v>
      </c>
      <c r="C20" s="61" t="s">
        <v>1177</v>
      </c>
      <c r="D20" s="57" t="s">
        <v>1178</v>
      </c>
      <c r="E20" s="57" t="s">
        <v>1179</v>
      </c>
      <c r="F20" s="57" t="s">
        <v>1180</v>
      </c>
      <c r="G20" s="57" t="s">
        <v>1096</v>
      </c>
      <c r="H20" s="58">
        <v>1737450</v>
      </c>
      <c r="I20" s="59">
        <v>0.25</v>
      </c>
      <c r="J20" s="60">
        <v>45595</v>
      </c>
      <c r="K20" s="57" t="s">
        <v>1181</v>
      </c>
      <c r="L20" s="57">
        <v>20241028402</v>
      </c>
      <c r="M20" s="57" t="s">
        <v>1156</v>
      </c>
      <c r="N20" s="57" t="s">
        <v>1182</v>
      </c>
    </row>
    <row r="21" ht="18" customHeight="1" spans="1:15">
      <c r="A21" s="57">
        <v>21</v>
      </c>
      <c r="B21" s="57" t="s">
        <v>1176</v>
      </c>
      <c r="C21" s="61" t="s">
        <v>1183</v>
      </c>
      <c r="D21" s="57" t="s">
        <v>1184</v>
      </c>
      <c r="E21" s="57" t="s">
        <v>1185</v>
      </c>
      <c r="F21" s="57" t="s">
        <v>1186</v>
      </c>
      <c r="G21" s="57" t="s">
        <v>336</v>
      </c>
      <c r="H21" s="58">
        <v>106000</v>
      </c>
      <c r="I21" s="59">
        <v>0.3</v>
      </c>
      <c r="J21" s="60">
        <v>45646</v>
      </c>
      <c r="K21" s="57" t="s">
        <v>1187</v>
      </c>
      <c r="L21" s="57">
        <v>20241226372</v>
      </c>
      <c r="M21" s="57" t="s">
        <v>1188</v>
      </c>
      <c r="N21" s="57" t="s">
        <v>1189</v>
      </c>
    </row>
    <row r="22" ht="18" customHeight="1" spans="1:15">
      <c r="A22" s="57">
        <v>22</v>
      </c>
      <c r="B22" s="57" t="s">
        <v>6</v>
      </c>
      <c r="C22" s="61" t="s">
        <v>1190</v>
      </c>
      <c r="D22" s="57" t="s">
        <v>1191</v>
      </c>
      <c r="E22" s="57" t="s">
        <v>954</v>
      </c>
      <c r="F22" s="57" t="s">
        <v>955</v>
      </c>
      <c r="G22" s="57" t="s">
        <v>336</v>
      </c>
      <c r="H22" s="58">
        <v>530000</v>
      </c>
      <c r="I22" s="59">
        <v>0.5</v>
      </c>
      <c r="J22" s="60">
        <v>45652</v>
      </c>
      <c r="K22" s="57" t="s">
        <v>1192</v>
      </c>
      <c r="L22" s="57">
        <v>20241226372</v>
      </c>
      <c r="M22" s="57" t="s">
        <v>1188</v>
      </c>
      <c r="N22" s="57" t="s">
        <v>1193</v>
      </c>
    </row>
    <row r="23" ht="18" customHeight="1" spans="1:15">
      <c r="A23" s="57">
        <v>23</v>
      </c>
      <c r="B23" s="57" t="s">
        <v>6</v>
      </c>
      <c r="C23" s="61" t="s">
        <v>1151</v>
      </c>
      <c r="D23" s="57" t="s">
        <v>1194</v>
      </c>
      <c r="E23" s="57" t="s">
        <v>1195</v>
      </c>
      <c r="F23" s="57" t="s">
        <v>1196</v>
      </c>
      <c r="G23" s="57" t="s">
        <v>336</v>
      </c>
      <c r="H23" s="58">
        <v>513500</v>
      </c>
      <c r="I23" s="59">
        <v>0.2534</v>
      </c>
      <c r="J23" s="60">
        <v>45636</v>
      </c>
      <c r="K23" s="57" t="s">
        <v>1197</v>
      </c>
      <c r="L23" s="57">
        <v>20241210590</v>
      </c>
      <c r="M23" s="57" t="s">
        <v>1156</v>
      </c>
      <c r="N23" s="62" t="s">
        <v>1198</v>
      </c>
    </row>
    <row r="24" ht="18" customHeight="1" spans="1:15">
      <c r="A24" s="57">
        <v>24</v>
      </c>
      <c r="B24" s="57" t="s">
        <v>6</v>
      </c>
      <c r="C24" s="61" t="s">
        <v>1151</v>
      </c>
      <c r="D24" s="57" t="s">
        <v>1199</v>
      </c>
      <c r="E24" s="57" t="s">
        <v>1200</v>
      </c>
      <c r="F24" s="57" t="s">
        <v>1196</v>
      </c>
      <c r="G24" s="57" t="s">
        <v>336</v>
      </c>
      <c r="H24" s="58">
        <v>161500</v>
      </c>
      <c r="I24" s="59">
        <v>0.2399</v>
      </c>
      <c r="J24" s="60">
        <v>45656</v>
      </c>
      <c r="K24" s="57" t="s">
        <v>1201</v>
      </c>
      <c r="L24" s="57">
        <v>20241230647</v>
      </c>
      <c r="M24" s="57" t="s">
        <v>1156</v>
      </c>
      <c r="N24" s="62" t="s">
        <v>1202</v>
      </c>
    </row>
    <row r="25" ht="18" customHeight="1" spans="1:15">
      <c r="A25" s="57">
        <v>25</v>
      </c>
      <c r="B25" s="57" t="s">
        <v>6</v>
      </c>
      <c r="C25" s="61" t="s">
        <v>1177</v>
      </c>
      <c r="D25" s="62" t="s">
        <v>1203</v>
      </c>
      <c r="E25" s="57" t="s">
        <v>1179</v>
      </c>
      <c r="F25" s="57" t="s">
        <v>1180</v>
      </c>
      <c r="G25" s="57" t="s">
        <v>1096</v>
      </c>
      <c r="H25" s="58">
        <v>424000</v>
      </c>
      <c r="I25" s="59">
        <v>0.25</v>
      </c>
      <c r="J25" s="60">
        <v>45656</v>
      </c>
      <c r="K25" s="57" t="s">
        <v>1204</v>
      </c>
      <c r="L25" s="57">
        <v>20241230632</v>
      </c>
      <c r="M25" s="57" t="s">
        <v>1156</v>
      </c>
      <c r="N25" s="62" t="s">
        <v>1205</v>
      </c>
    </row>
    <row r="26" ht="18" customHeight="1" spans="1:15">
      <c r="A26" s="57">
        <v>26</v>
      </c>
      <c r="B26" s="57" t="s">
        <v>7</v>
      </c>
      <c r="C26" s="61" t="s">
        <v>1206</v>
      </c>
      <c r="D26" s="62" t="s">
        <v>1207</v>
      </c>
      <c r="E26" s="57" t="s">
        <v>1078</v>
      </c>
      <c r="F26" s="57" t="s">
        <v>1208</v>
      </c>
      <c r="G26" s="57" t="s">
        <v>336</v>
      </c>
      <c r="H26" s="58">
        <v>1202098.48</v>
      </c>
      <c r="I26" s="59">
        <v>0.18</v>
      </c>
      <c r="J26" s="60">
        <v>45636</v>
      </c>
      <c r="K26" s="57" t="s">
        <v>1209</v>
      </c>
      <c r="L26" s="57">
        <v>20241204166</v>
      </c>
      <c r="M26" s="57" t="s">
        <v>1118</v>
      </c>
      <c r="N26" s="62" t="s">
        <v>1210</v>
      </c>
    </row>
    <row r="27" ht="18" customHeight="1" spans="1:15">
      <c r="A27" s="57">
        <v>27</v>
      </c>
      <c r="B27" s="57" t="s">
        <v>7</v>
      </c>
      <c r="C27" s="61" t="s">
        <v>1211</v>
      </c>
      <c r="D27" s="62" t="s">
        <v>1212</v>
      </c>
      <c r="E27" s="57" t="s">
        <v>1213</v>
      </c>
      <c r="F27" s="57" t="s">
        <v>1214</v>
      </c>
      <c r="G27" s="57" t="s">
        <v>336</v>
      </c>
      <c r="H27" s="58">
        <v>99000</v>
      </c>
      <c r="I27" s="59">
        <v>0.35</v>
      </c>
      <c r="J27" s="60">
        <v>45604</v>
      </c>
      <c r="K27" s="57" t="s">
        <v>1215</v>
      </c>
      <c r="L27" s="57">
        <v>20241107865</v>
      </c>
      <c r="M27" s="57" t="s">
        <v>1118</v>
      </c>
      <c r="N27" s="62" t="s">
        <v>1216</v>
      </c>
    </row>
    <row r="28" ht="18" customHeight="1" spans="1:15">
      <c r="A28" s="57">
        <v>28</v>
      </c>
      <c r="B28" s="57" t="s">
        <v>7</v>
      </c>
      <c r="C28" s="61" t="s">
        <v>1217</v>
      </c>
      <c r="D28" s="62" t="s">
        <v>1218</v>
      </c>
      <c r="E28" s="57" t="s">
        <v>1219</v>
      </c>
      <c r="F28" s="57" t="s">
        <v>1220</v>
      </c>
      <c r="G28" s="57" t="s">
        <v>336</v>
      </c>
      <c r="H28" s="58">
        <v>444834.41</v>
      </c>
      <c r="I28" s="59">
        <v>1</v>
      </c>
      <c r="J28" s="60">
        <v>45555</v>
      </c>
      <c r="K28" s="57" t="s">
        <v>1221</v>
      </c>
      <c r="L28" s="57">
        <v>20240920416</v>
      </c>
      <c r="M28" s="57" t="s">
        <v>1118</v>
      </c>
      <c r="N28" s="62" t="s">
        <v>1222</v>
      </c>
    </row>
    <row r="29" ht="18" customHeight="1" spans="1:15">
      <c r="A29" s="57">
        <v>26</v>
      </c>
      <c r="B29" s="57" t="s">
        <v>5</v>
      </c>
      <c r="C29" s="61" t="s">
        <v>732</v>
      </c>
      <c r="D29" s="62" t="s">
        <v>1223</v>
      </c>
      <c r="E29" s="57" t="s">
        <v>1078</v>
      </c>
      <c r="F29" s="57" t="s">
        <v>1079</v>
      </c>
      <c r="G29" s="57" t="s">
        <v>336</v>
      </c>
      <c r="H29" s="58">
        <v>2669607</v>
      </c>
      <c r="I29" s="59">
        <v>0.1742</v>
      </c>
      <c r="J29" s="60">
        <v>45652</v>
      </c>
      <c r="K29" s="57" t="s">
        <v>1224</v>
      </c>
      <c r="L29" s="57">
        <v>20241225331</v>
      </c>
      <c r="M29" s="57" t="s">
        <v>1075</v>
      </c>
      <c r="N29" s="62" t="s">
        <v>1225</v>
      </c>
    </row>
    <row r="30" ht="18" customHeight="1" spans="1:15">
      <c r="A30" s="57">
        <v>27</v>
      </c>
      <c r="B30" s="57" t="s">
        <v>5</v>
      </c>
      <c r="C30" s="61" t="s">
        <v>1226</v>
      </c>
      <c r="D30" s="62" t="s">
        <v>1227</v>
      </c>
      <c r="E30" s="57" t="s">
        <v>1167</v>
      </c>
      <c r="F30" s="57" t="s">
        <v>1228</v>
      </c>
      <c r="G30" s="57" t="s">
        <v>336</v>
      </c>
      <c r="H30" s="58">
        <v>2120000</v>
      </c>
      <c r="I30" s="59">
        <v>0.1656</v>
      </c>
      <c r="J30" s="60">
        <v>45648</v>
      </c>
      <c r="K30" s="57" t="s">
        <v>1229</v>
      </c>
      <c r="L30" s="57">
        <v>20241220114</v>
      </c>
      <c r="M30" s="57" t="s">
        <v>1075</v>
      </c>
      <c r="N30" s="62" t="s">
        <v>1230</v>
      </c>
    </row>
    <row r="31" ht="18" customHeight="1" spans="1:15">
      <c r="A31" s="57">
        <v>28</v>
      </c>
      <c r="B31" s="57" t="s">
        <v>10</v>
      </c>
      <c r="C31" s="61" t="s">
        <v>506</v>
      </c>
      <c r="D31" s="62" t="s">
        <v>1231</v>
      </c>
      <c r="E31" s="57" t="s">
        <v>1232</v>
      </c>
      <c r="F31" s="57" t="s">
        <v>1233</v>
      </c>
      <c r="G31" s="57" t="s">
        <v>1234</v>
      </c>
      <c r="H31" s="58">
        <v>136000</v>
      </c>
      <c r="I31" s="59">
        <v>0.06</v>
      </c>
      <c r="J31" s="60">
        <v>45656</v>
      </c>
      <c r="K31" s="57" t="s">
        <v>1235</v>
      </c>
      <c r="L31" s="57">
        <v>20241229581</v>
      </c>
      <c r="M31" s="57" t="s">
        <v>1075</v>
      </c>
      <c r="N31" s="62" t="s">
        <v>1236</v>
      </c>
    </row>
    <row r="32" ht="18" customHeight="1" spans="1:15">
      <c r="A32" s="57">
        <v>29</v>
      </c>
      <c r="B32" s="57" t="s">
        <v>7</v>
      </c>
      <c r="C32" s="61" t="s">
        <v>1237</v>
      </c>
      <c r="D32" s="62" t="s">
        <v>1238</v>
      </c>
      <c r="E32" s="57" t="s">
        <v>1239</v>
      </c>
      <c r="F32" s="57" t="s">
        <v>1240</v>
      </c>
      <c r="G32" s="57" t="s">
        <v>336</v>
      </c>
      <c r="H32" s="58">
        <v>127200</v>
      </c>
      <c r="I32" s="59">
        <v>0.35</v>
      </c>
      <c r="J32" s="60">
        <v>45631</v>
      </c>
      <c r="K32" s="57" t="s">
        <v>1241</v>
      </c>
      <c r="L32" s="57">
        <v>20241201975</v>
      </c>
      <c r="M32" s="57" t="s">
        <v>1242</v>
      </c>
      <c r="N32" s="62" t="s">
        <v>1243</v>
      </c>
    </row>
    <row r="33" ht="18" customHeight="1" spans="1:20">
      <c r="A33" s="57">
        <v>30</v>
      </c>
      <c r="B33" s="57" t="s">
        <v>7</v>
      </c>
      <c r="C33" s="61" t="s">
        <v>1237</v>
      </c>
      <c r="D33" s="62" t="s">
        <v>1244</v>
      </c>
      <c r="E33" s="57" t="s">
        <v>1245</v>
      </c>
      <c r="F33" s="57" t="s">
        <v>1240</v>
      </c>
      <c r="G33" s="57" t="s">
        <v>336</v>
      </c>
      <c r="H33" s="58">
        <v>530000</v>
      </c>
      <c r="I33" s="59">
        <v>0.35</v>
      </c>
      <c r="J33" s="60">
        <v>45631</v>
      </c>
      <c r="K33" s="57" t="s">
        <v>1246</v>
      </c>
      <c r="L33" s="57">
        <v>20241201974</v>
      </c>
      <c r="M33" s="57" t="s">
        <v>1242</v>
      </c>
      <c r="N33" s="62" t="s">
        <v>1243</v>
      </c>
    </row>
    <row r="34" ht="18" customHeight="1" spans="1:20">
      <c r="A34" s="57">
        <v>31</v>
      </c>
      <c r="B34" s="57" t="s">
        <v>7</v>
      </c>
      <c r="C34" s="61" t="s">
        <v>1247</v>
      </c>
      <c r="D34" s="62" t="s">
        <v>1248</v>
      </c>
      <c r="E34" s="57" t="s">
        <v>1249</v>
      </c>
      <c r="F34" s="57" t="s">
        <v>1250</v>
      </c>
      <c r="G34" s="57" t="s">
        <v>1251</v>
      </c>
      <c r="H34" s="58">
        <v>8583880</v>
      </c>
      <c r="I34" s="59">
        <v>0.4</v>
      </c>
      <c r="J34" s="60">
        <v>45678</v>
      </c>
      <c r="K34" s="57" t="s">
        <v>1252</v>
      </c>
      <c r="L34" s="57">
        <v>20250121879</v>
      </c>
      <c r="M34" s="57" t="s">
        <v>1118</v>
      </c>
      <c r="N34" s="62" t="s">
        <v>1253</v>
      </c>
    </row>
    <row r="35" ht="18" customHeight="1" spans="1:20">
      <c r="A35" s="57">
        <v>32</v>
      </c>
      <c r="B35" s="57" t="s">
        <v>7</v>
      </c>
      <c r="C35" s="61" t="s">
        <v>1254</v>
      </c>
      <c r="D35" s="62" t="s">
        <v>1255</v>
      </c>
      <c r="E35" s="57" t="s">
        <v>1256</v>
      </c>
      <c r="F35" s="57" t="s">
        <v>1257</v>
      </c>
      <c r="G35" s="57" t="s">
        <v>1251</v>
      </c>
      <c r="H35" s="58">
        <v>130000</v>
      </c>
      <c r="I35" s="59">
        <v>0.2</v>
      </c>
      <c r="J35" s="60">
        <v>45719</v>
      </c>
      <c r="K35" s="57" t="s">
        <v>1258</v>
      </c>
      <c r="L35" s="57">
        <v>20250226002</v>
      </c>
      <c r="M35" s="57" t="s">
        <v>1118</v>
      </c>
      <c r="N35" s="62" t="s">
        <v>1259</v>
      </c>
    </row>
    <row r="36" ht="18" customHeight="1" spans="1:20">
      <c r="A36" s="57">
        <v>33</v>
      </c>
      <c r="B36" s="57" t="s">
        <v>6</v>
      </c>
      <c r="C36" s="61" t="s">
        <v>1260</v>
      </c>
      <c r="D36" s="62" t="s">
        <v>1261</v>
      </c>
      <c r="E36" s="57" t="s">
        <v>1005</v>
      </c>
      <c r="F36" s="57" t="s">
        <v>955</v>
      </c>
      <c r="G36" s="57" t="s">
        <v>723</v>
      </c>
      <c r="H36" s="58">
        <v>1500000</v>
      </c>
      <c r="I36" s="59">
        <v>0.25</v>
      </c>
      <c r="J36" s="60">
        <v>45715</v>
      </c>
      <c r="K36" s="57" t="s">
        <v>1262</v>
      </c>
      <c r="L36" s="57">
        <v>20250227072</v>
      </c>
      <c r="M36" s="57" t="s">
        <v>1156</v>
      </c>
      <c r="N36" s="62" t="s">
        <v>1263</v>
      </c>
    </row>
    <row r="37" ht="18" customHeight="1" spans="1:20">
      <c r="A37" s="57">
        <v>34</v>
      </c>
      <c r="B37" s="57" t="s">
        <v>5</v>
      </c>
      <c r="C37" s="61" t="s">
        <v>1264</v>
      </c>
      <c r="D37" s="62" t="s">
        <v>1265</v>
      </c>
      <c r="E37" s="57" t="s">
        <v>1266</v>
      </c>
      <c r="F37" s="57" t="s">
        <v>1267</v>
      </c>
      <c r="G37" s="57" t="s">
        <v>723</v>
      </c>
      <c r="H37" s="58">
        <v>318000</v>
      </c>
      <c r="I37" s="59">
        <v>0.3</v>
      </c>
      <c r="J37" s="60">
        <v>45747</v>
      </c>
      <c r="K37" s="57" t="s">
        <v>1268</v>
      </c>
      <c r="L37" s="57" t="s">
        <v>1269</v>
      </c>
      <c r="M37" s="57" t="s">
        <v>1075</v>
      </c>
      <c r="N37" s="62" t="s">
        <v>1270</v>
      </c>
      <c r="O37" s="56"/>
    </row>
    <row r="38" ht="17" customHeight="1" spans="1:20">
      <c r="A38" s="57">
        <v>35</v>
      </c>
      <c r="B38" s="57" t="s">
        <v>6</v>
      </c>
      <c r="C38" s="61" t="s">
        <v>1177</v>
      </c>
      <c r="D38" s="62" t="s">
        <v>1271</v>
      </c>
      <c r="E38" s="57" t="s">
        <v>1179</v>
      </c>
      <c r="F38" s="57" t="s">
        <v>1180</v>
      </c>
      <c r="G38" s="57" t="s">
        <v>1272</v>
      </c>
      <c r="H38" s="58">
        <v>3849920</v>
      </c>
      <c r="I38" s="59" t="s">
        <v>1273</v>
      </c>
      <c r="J38" s="60">
        <v>45836</v>
      </c>
      <c r="K38" s="57" t="s">
        <v>1274</v>
      </c>
      <c r="L38" s="57">
        <v>20250623444</v>
      </c>
      <c r="M38" s="57" t="s">
        <v>1156</v>
      </c>
      <c r="N38" s="62" t="s">
        <v>1275</v>
      </c>
    </row>
    <row r="39" ht="17" customHeight="1" spans="1:20">
      <c r="A39" s="57">
        <v>36</v>
      </c>
      <c r="B39" s="57" t="s">
        <v>5</v>
      </c>
      <c r="C39" s="61" t="s">
        <v>1276</v>
      </c>
      <c r="D39" s="62" t="s">
        <v>1277</v>
      </c>
      <c r="E39" s="57" t="s">
        <v>1278</v>
      </c>
      <c r="F39" s="57" t="s">
        <v>1279</v>
      </c>
      <c r="G39" s="57" t="s">
        <v>1251</v>
      </c>
      <c r="H39" s="58" t="s">
        <v>1280</v>
      </c>
      <c r="I39" s="59">
        <v>0.3</v>
      </c>
      <c r="J39" s="60">
        <v>45820</v>
      </c>
      <c r="K39" s="57" t="s">
        <v>1281</v>
      </c>
      <c r="L39" s="57" t="s">
        <v>1282</v>
      </c>
      <c r="M39" s="57" t="s">
        <v>1163</v>
      </c>
      <c r="N39" s="62" t="s">
        <v>1283</v>
      </c>
      <c r="O39" s="56"/>
    </row>
    <row r="40" ht="17" customHeight="1" spans="1:20">
      <c r="A40" s="57">
        <v>37</v>
      </c>
      <c r="B40" s="57" t="s">
        <v>6</v>
      </c>
      <c r="C40" s="61" t="s">
        <v>1284</v>
      </c>
      <c r="D40" s="62" t="s">
        <v>1285</v>
      </c>
      <c r="E40" s="57" t="s">
        <v>1286</v>
      </c>
      <c r="F40" s="57" t="s">
        <v>1287</v>
      </c>
      <c r="G40" s="57" t="s">
        <v>336</v>
      </c>
      <c r="H40" s="58">
        <v>300000</v>
      </c>
      <c r="I40" s="59">
        <v>0.53</v>
      </c>
      <c r="J40" s="60">
        <v>45839</v>
      </c>
      <c r="K40" s="57" t="s">
        <v>1288</v>
      </c>
      <c r="L40" s="57">
        <v>20250630829</v>
      </c>
      <c r="M40" s="57" t="s">
        <v>1289</v>
      </c>
      <c r="N40" s="62" t="s">
        <v>1290</v>
      </c>
      <c r="O40" s="56"/>
      <c r="P40" s="63"/>
      <c r="Q40" s="63"/>
      <c r="R40" s="63"/>
      <c r="S40" s="63"/>
      <c r="T40" s="63"/>
    </row>
    <row r="41" ht="18" customHeight="1" spans="1:20">
      <c r="A41" s="57">
        <v>38</v>
      </c>
      <c r="B41" s="57" t="s">
        <v>7</v>
      </c>
      <c r="C41" s="61" t="s">
        <v>1291</v>
      </c>
      <c r="D41" s="62" t="s">
        <v>1292</v>
      </c>
      <c r="E41" s="57" t="s">
        <v>1293</v>
      </c>
      <c r="F41" s="57" t="s">
        <v>1294</v>
      </c>
      <c r="G41" s="57" t="s">
        <v>336</v>
      </c>
      <c r="H41" s="58">
        <v>2266144.53</v>
      </c>
      <c r="I41" s="59">
        <v>0.2902</v>
      </c>
      <c r="J41" s="60">
        <v>45845</v>
      </c>
      <c r="K41" s="57" t="s">
        <v>1295</v>
      </c>
      <c r="L41" s="57">
        <v>20250617165</v>
      </c>
      <c r="M41" s="57" t="s">
        <v>1296</v>
      </c>
      <c r="N41" s="62" t="s">
        <v>1297</v>
      </c>
    </row>
    <row r="42" ht="18" customHeight="1" spans="1:20">
      <c r="A42" s="57">
        <v>39</v>
      </c>
      <c r="B42" s="57" t="s">
        <v>7</v>
      </c>
      <c r="C42" s="61" t="s">
        <v>922</v>
      </c>
      <c r="D42" s="62" t="s">
        <v>1298</v>
      </c>
      <c r="E42" s="57" t="s">
        <v>1299</v>
      </c>
      <c r="F42" s="57" t="s">
        <v>1220</v>
      </c>
      <c r="G42" s="57" t="s">
        <v>1300</v>
      </c>
      <c r="H42" s="58">
        <v>98051.67</v>
      </c>
      <c r="I42" s="59">
        <v>0.1503</v>
      </c>
      <c r="J42" s="60">
        <v>45827</v>
      </c>
      <c r="K42" s="57" t="s">
        <v>1301</v>
      </c>
      <c r="L42" s="57">
        <v>20250617176</v>
      </c>
      <c r="M42" s="57" t="s">
        <v>1118</v>
      </c>
      <c r="N42" s="62" t="s">
        <v>1302</v>
      </c>
    </row>
    <row r="43" ht="21" customHeight="1" spans="1:20">
      <c r="A43" s="57">
        <v>40</v>
      </c>
      <c r="B43" s="57" t="s">
        <v>7</v>
      </c>
      <c r="C43" s="61" t="s">
        <v>1303</v>
      </c>
      <c r="D43" s="62" t="s">
        <v>1304</v>
      </c>
      <c r="E43" s="57" t="s">
        <v>1305</v>
      </c>
      <c r="F43" s="57" t="s">
        <v>1306</v>
      </c>
      <c r="G43" s="57" t="s">
        <v>1307</v>
      </c>
      <c r="H43" s="58">
        <v>900000</v>
      </c>
      <c r="I43" s="59">
        <v>0.1</v>
      </c>
      <c r="J43" s="60">
        <v>45890</v>
      </c>
      <c r="K43" s="57" t="s">
        <v>1308</v>
      </c>
      <c r="L43" s="57">
        <v>20250821762</v>
      </c>
      <c r="M43" s="57" t="s">
        <v>1309</v>
      </c>
      <c r="N43" s="62" t="s">
        <v>1310</v>
      </c>
    </row>
    <row r="44" ht="21" customHeight="1" spans="1:20">
      <c r="A44" s="57">
        <v>41</v>
      </c>
      <c r="B44" s="57" t="s">
        <v>7</v>
      </c>
      <c r="C44" s="61" t="s">
        <v>862</v>
      </c>
      <c r="D44" s="64" t="s">
        <v>1311</v>
      </c>
      <c r="E44" s="57" t="s">
        <v>1102</v>
      </c>
      <c r="F44" s="57" t="s">
        <v>1312</v>
      </c>
      <c r="G44" s="57" t="s">
        <v>1251</v>
      </c>
      <c r="H44" s="58">
        <v>149460</v>
      </c>
      <c r="I44" s="59">
        <v>0.28</v>
      </c>
      <c r="J44" s="60">
        <v>45874</v>
      </c>
      <c r="K44" s="57" t="s">
        <v>1313</v>
      </c>
      <c r="L44" s="57">
        <v>20250730567</v>
      </c>
      <c r="M44" s="57" t="s">
        <v>1118</v>
      </c>
      <c r="N44" s="62" t="s">
        <v>1314</v>
      </c>
    </row>
    <row r="45" ht="21" customHeight="1" spans="1:20">
      <c r="A45" s="57">
        <v>42</v>
      </c>
      <c r="B45" s="57" t="s">
        <v>6</v>
      </c>
      <c r="C45" s="61" t="s">
        <v>1315</v>
      </c>
      <c r="D45" s="64" t="s">
        <v>1316</v>
      </c>
      <c r="E45" s="57" t="s">
        <v>1317</v>
      </c>
      <c r="F45" s="57" t="s">
        <v>1228</v>
      </c>
      <c r="G45" s="57" t="s">
        <v>1251</v>
      </c>
      <c r="H45" s="58">
        <v>102720.36</v>
      </c>
      <c r="I45" s="59">
        <v>1</v>
      </c>
      <c r="J45" s="60">
        <v>45734</v>
      </c>
      <c r="K45" s="57" t="s">
        <v>1318</v>
      </c>
      <c r="L45" s="57">
        <v>20250318006</v>
      </c>
      <c r="M45" s="57" t="s">
        <v>1139</v>
      </c>
      <c r="N45" s="62" t="s">
        <v>1319</v>
      </c>
    </row>
    <row r="46" ht="21" customHeight="1" spans="1:20">
      <c r="A46" s="57">
        <v>43</v>
      </c>
      <c r="B46" s="57" t="s">
        <v>6</v>
      </c>
      <c r="C46" s="61" t="s">
        <v>1320</v>
      </c>
      <c r="D46" s="62" t="s">
        <v>1321</v>
      </c>
      <c r="E46" s="57" t="s">
        <v>1322</v>
      </c>
      <c r="F46" s="57" t="s">
        <v>1323</v>
      </c>
      <c r="G46" s="57" t="s">
        <v>1251</v>
      </c>
      <c r="H46" s="58">
        <v>2331759</v>
      </c>
      <c r="I46" s="59">
        <v>0.2777</v>
      </c>
      <c r="J46" s="60">
        <v>45835</v>
      </c>
      <c r="K46" s="57" t="s">
        <v>1324</v>
      </c>
      <c r="L46" s="57">
        <v>20250627777</v>
      </c>
      <c r="M46" s="57" t="s">
        <v>1139</v>
      </c>
      <c r="N46" s="62" t="s">
        <v>1325</v>
      </c>
    </row>
    <row r="47" ht="36" customHeight="1" spans="1:20">
      <c r="A47" s="57">
        <v>44</v>
      </c>
      <c r="B47" s="57" t="s">
        <v>6</v>
      </c>
      <c r="C47" s="61" t="s">
        <v>968</v>
      </c>
      <c r="D47" s="62" t="s">
        <v>1326</v>
      </c>
      <c r="E47" s="57" t="s">
        <v>970</v>
      </c>
      <c r="F47" s="57" t="s">
        <v>1327</v>
      </c>
      <c r="G47" s="57" t="s">
        <v>1251</v>
      </c>
      <c r="H47" s="58">
        <v>10000000</v>
      </c>
      <c r="I47" s="59">
        <v>0.15</v>
      </c>
      <c r="J47" s="60">
        <v>45914</v>
      </c>
      <c r="K47" s="57"/>
      <c r="L47" s="57">
        <v>20250831259</v>
      </c>
      <c r="M47" s="57" t="s">
        <v>1139</v>
      </c>
      <c r="N47" s="64" t="s">
        <v>1328</v>
      </c>
    </row>
    <row r="48" ht="53" customHeight="1" spans="1:20">
      <c r="A48" s="57">
        <v>45</v>
      </c>
      <c r="B48" s="57" t="s">
        <v>6</v>
      </c>
      <c r="C48" s="61" t="s">
        <v>1320</v>
      </c>
      <c r="D48" s="62" t="s">
        <v>1329</v>
      </c>
      <c r="E48" s="57" t="s">
        <v>1219</v>
      </c>
      <c r="F48" s="57" t="s">
        <v>1330</v>
      </c>
      <c r="G48" s="57" t="s">
        <v>1251</v>
      </c>
      <c r="H48" s="65">
        <v>705435</v>
      </c>
      <c r="I48" s="59">
        <v>0.15</v>
      </c>
      <c r="J48" s="60">
        <v>45927</v>
      </c>
      <c r="K48" s="57"/>
      <c r="L48" s="57">
        <v>20250926724</v>
      </c>
      <c r="M48" s="57" t="s">
        <v>1139</v>
      </c>
      <c r="N48" s="64" t="s">
        <v>1331</v>
      </c>
      <c r="O48" s="56"/>
    </row>
    <row r="49" ht="18" customHeight="1" spans="1:15">
      <c r="A49" s="57">
        <v>46</v>
      </c>
      <c r="B49" s="57" t="s">
        <v>7</v>
      </c>
      <c r="C49" s="61" t="s">
        <v>922</v>
      </c>
      <c r="D49" s="62" t="s">
        <v>1332</v>
      </c>
      <c r="E49" s="57" t="s">
        <v>1299</v>
      </c>
      <c r="F49" s="57" t="s">
        <v>1220</v>
      </c>
      <c r="G49" s="57" t="s">
        <v>1333</v>
      </c>
      <c r="H49" s="65">
        <v>1617000</v>
      </c>
      <c r="I49" s="59">
        <v>0.23</v>
      </c>
      <c r="J49" s="60">
        <v>45927</v>
      </c>
      <c r="K49" s="57" t="s">
        <v>1334</v>
      </c>
      <c r="L49" s="57">
        <v>20250924568</v>
      </c>
      <c r="M49" s="57" t="s">
        <v>1118</v>
      </c>
      <c r="N49" s="64" t="s">
        <v>1335</v>
      </c>
      <c r="O49" s="56"/>
    </row>
    <row r="50" ht="18" customHeight="1" spans="1:15">
      <c r="A50" s="57">
        <v>47</v>
      </c>
      <c r="B50" s="57" t="s">
        <v>7</v>
      </c>
      <c r="C50" s="61" t="s">
        <v>922</v>
      </c>
      <c r="D50" s="62" t="s">
        <v>1336</v>
      </c>
      <c r="E50" s="57" t="s">
        <v>1299</v>
      </c>
      <c r="F50" s="57" t="s">
        <v>1220</v>
      </c>
      <c r="G50" s="57" t="s">
        <v>1333</v>
      </c>
      <c r="H50" s="65">
        <v>609796.8</v>
      </c>
      <c r="I50" s="59">
        <v>0.25</v>
      </c>
      <c r="J50" s="60">
        <v>45964</v>
      </c>
      <c r="K50" s="57" t="s">
        <v>1337</v>
      </c>
      <c r="L50" s="57">
        <v>20251029178</v>
      </c>
      <c r="M50" s="57" t="s">
        <v>1118</v>
      </c>
      <c r="N50" s="64" t="s">
        <v>1335</v>
      </c>
      <c r="O50" s="56"/>
    </row>
    <row r="51" ht="18" customHeight="1" spans="1:15">
      <c r="A51" s="57">
        <v>48</v>
      </c>
      <c r="B51" s="57" t="s">
        <v>6</v>
      </c>
      <c r="C51" s="61" t="s">
        <v>988</v>
      </c>
      <c r="D51" s="62" t="s">
        <v>989</v>
      </c>
      <c r="E51" s="57" t="s">
        <v>990</v>
      </c>
      <c r="F51" s="57" t="s">
        <v>991</v>
      </c>
      <c r="G51" s="57" t="s">
        <v>1251</v>
      </c>
      <c r="H51" s="65" t="s">
        <v>1338</v>
      </c>
      <c r="I51" s="59">
        <v>0.2003</v>
      </c>
      <c r="J51" s="60">
        <v>45987</v>
      </c>
      <c r="K51" s="57" t="s">
        <v>1339</v>
      </c>
      <c r="L51" s="57">
        <v>20251126640</v>
      </c>
      <c r="M51" s="57" t="s">
        <v>1289</v>
      </c>
      <c r="N51" s="64" t="s">
        <v>1340</v>
      </c>
      <c r="O51" s="56"/>
    </row>
    <row r="52" ht="18" customHeight="1" spans="1:15">
      <c r="A52" s="57">
        <v>49</v>
      </c>
      <c r="B52" s="57" t="s">
        <v>10</v>
      </c>
      <c r="C52" s="61" t="s">
        <v>118</v>
      </c>
      <c r="D52" s="62" t="s">
        <v>1341</v>
      </c>
      <c r="E52" s="57" t="s">
        <v>1342</v>
      </c>
      <c r="F52" s="57" t="s">
        <v>1342</v>
      </c>
      <c r="G52" s="57" t="s">
        <v>1343</v>
      </c>
      <c r="H52" s="65">
        <v>16204200</v>
      </c>
      <c r="I52" s="59">
        <v>0.057</v>
      </c>
      <c r="J52" s="60">
        <v>45988</v>
      </c>
      <c r="K52" s="57" t="s">
        <v>1344</v>
      </c>
      <c r="L52" s="57">
        <v>20251126648</v>
      </c>
      <c r="M52" s="57" t="s">
        <v>1075</v>
      </c>
      <c r="N52" s="64" t="s">
        <v>1345</v>
      </c>
      <c r="O52" s="56"/>
    </row>
    <row r="53" ht="14" spans="1:15">
      <c r="A53" s="57"/>
      <c r="B53" s="57"/>
      <c r="C53" s="61"/>
      <c r="D53" s="62"/>
      <c r="E53" s="57"/>
      <c r="F53" s="57"/>
      <c r="G53" s="57"/>
      <c r="H53" s="65"/>
      <c r="I53" s="59"/>
      <c r="J53" s="60"/>
      <c r="K53" s="66"/>
      <c r="L53" s="57"/>
      <c r="M53" s="57"/>
      <c r="N53" s="64"/>
      <c r="O53" s="56"/>
    </row>
    <row r="54" ht="14" spans="1:15">
      <c r="A54" s="57"/>
      <c r="B54" s="57"/>
      <c r="C54" s="61"/>
      <c r="D54" s="62"/>
      <c r="E54" s="57"/>
      <c r="F54" s="57"/>
      <c r="G54" s="57"/>
      <c r="H54" s="65"/>
      <c r="I54" s="59"/>
      <c r="J54" s="60"/>
      <c r="K54" s="57"/>
      <c r="L54" s="57"/>
      <c r="M54" s="57"/>
      <c r="N54" s="64"/>
      <c r="O54" s="56"/>
    </row>
    <row r="55" ht="14" spans="1:15">
      <c r="A55" s="57"/>
      <c r="B55" s="57"/>
      <c r="C55" s="61"/>
      <c r="D55" s="62"/>
      <c r="E55" s="57"/>
      <c r="F55" s="57"/>
      <c r="G55" s="57"/>
      <c r="H55" s="65"/>
      <c r="I55" s="59"/>
      <c r="J55" s="60"/>
      <c r="K55" s="57"/>
      <c r="L55" s="57"/>
      <c r="M55" s="57"/>
      <c r="N55" s="64"/>
      <c r="O55" s="56"/>
    </row>
    <row r="56" ht="14" spans="1:15">
      <c r="A56" s="57"/>
      <c r="B56" s="57"/>
      <c r="C56" s="61"/>
      <c r="D56" s="62"/>
      <c r="E56" s="57"/>
      <c r="F56" s="57"/>
      <c r="G56" s="57"/>
      <c r="H56" s="65"/>
      <c r="I56" s="59"/>
      <c r="J56" s="60"/>
      <c r="K56" s="57"/>
      <c r="L56" s="57"/>
      <c r="M56" s="57"/>
      <c r="N56" s="64"/>
      <c r="O56" s="56"/>
    </row>
    <row r="57" ht="14" spans="1:15">
      <c r="A57" s="57"/>
      <c r="B57" s="57"/>
      <c r="C57" s="61"/>
      <c r="D57" s="62"/>
      <c r="E57" s="57"/>
      <c r="F57" s="57"/>
      <c r="G57" s="57"/>
      <c r="H57" s="65"/>
      <c r="I57" s="59"/>
      <c r="J57" s="60"/>
      <c r="K57" s="57"/>
      <c r="L57" s="57"/>
      <c r="M57" s="57"/>
      <c r="N57" s="64"/>
      <c r="O57" s="56"/>
    </row>
    <row r="58" ht="14" spans="1:15">
      <c r="A58" s="57"/>
      <c r="B58" s="57"/>
      <c r="C58" s="61"/>
      <c r="D58" s="62"/>
      <c r="E58" s="57"/>
      <c r="F58" s="57"/>
      <c r="G58" s="57"/>
      <c r="H58" s="65"/>
      <c r="I58" s="59"/>
      <c r="J58" s="60"/>
      <c r="K58" s="57"/>
      <c r="L58" s="57"/>
      <c r="M58" s="57"/>
      <c r="N58" s="64"/>
      <c r="O58" s="56"/>
    </row>
    <row r="59" ht="14" spans="1:15">
      <c r="A59" s="57"/>
      <c r="B59" s="57"/>
      <c r="C59" s="61"/>
      <c r="D59" s="62"/>
      <c r="E59" s="57"/>
      <c r="F59" s="57"/>
      <c r="G59" s="57"/>
      <c r="H59" s="65"/>
      <c r="I59" s="59"/>
      <c r="J59" s="60"/>
      <c r="K59" s="57"/>
      <c r="L59" s="57"/>
      <c r="M59" s="57"/>
      <c r="N59" s="64"/>
      <c r="O59" s="56"/>
    </row>
    <row r="60" ht="14" spans="1:15">
      <c r="A60" s="57"/>
      <c r="B60" s="57"/>
      <c r="C60" s="61"/>
      <c r="D60" s="62"/>
      <c r="E60" s="57"/>
      <c r="F60" s="57"/>
      <c r="G60" s="57"/>
      <c r="H60" s="65"/>
      <c r="I60" s="59"/>
      <c r="J60" s="60"/>
      <c r="K60" s="57"/>
      <c r="L60" s="57"/>
      <c r="M60" s="57"/>
      <c r="N60" s="64"/>
      <c r="O60" s="56"/>
    </row>
    <row r="61" ht="14" spans="1:15">
      <c r="A61" s="57"/>
      <c r="B61" s="57"/>
      <c r="C61" s="61"/>
      <c r="D61" s="62"/>
      <c r="E61" s="57"/>
      <c r="F61" s="57"/>
      <c r="G61" s="57"/>
      <c r="H61" s="65"/>
      <c r="I61" s="59"/>
      <c r="J61" s="60"/>
      <c r="K61" s="57"/>
      <c r="L61" s="57"/>
      <c r="M61" s="57"/>
      <c r="N61" s="64"/>
      <c r="O61" s="56"/>
    </row>
    <row r="62" ht="14" spans="1:15">
      <c r="A62" s="57"/>
      <c r="B62" s="57"/>
      <c r="C62" s="61"/>
      <c r="D62" s="62"/>
      <c r="E62" s="57"/>
      <c r="F62" s="57"/>
      <c r="G62" s="57"/>
      <c r="H62" s="65"/>
      <c r="I62" s="59"/>
      <c r="J62" s="60"/>
      <c r="K62" s="57"/>
      <c r="L62" s="57"/>
      <c r="M62" s="57"/>
      <c r="N62" s="64"/>
      <c r="O62" s="56"/>
    </row>
    <row r="63" ht="14" spans="1:15">
      <c r="A63" s="57"/>
      <c r="B63" s="57"/>
      <c r="C63" s="61"/>
      <c r="D63" s="62"/>
      <c r="E63" s="57"/>
      <c r="F63" s="57"/>
      <c r="G63" s="57"/>
      <c r="H63" s="65"/>
      <c r="I63" s="59"/>
      <c r="J63" s="60"/>
      <c r="K63" s="57"/>
      <c r="L63" s="57"/>
      <c r="M63" s="57"/>
      <c r="N63" s="64"/>
      <c r="O63" s="56"/>
    </row>
    <row r="64" ht="14" spans="1:15">
      <c r="A64" s="57"/>
      <c r="B64" s="57"/>
      <c r="C64" s="61"/>
      <c r="D64" s="62"/>
      <c r="E64" s="57"/>
      <c r="F64" s="57"/>
      <c r="G64" s="57"/>
      <c r="H64" s="65"/>
      <c r="I64" s="59"/>
      <c r="J64" s="60"/>
      <c r="K64" s="57"/>
      <c r="L64" s="57"/>
      <c r="M64" s="57"/>
      <c r="N64" s="64"/>
      <c r="O64" s="56"/>
    </row>
    <row r="65" ht="14" spans="1:15">
      <c r="A65" s="57"/>
      <c r="B65" s="57"/>
      <c r="C65" s="61"/>
      <c r="D65" s="62"/>
      <c r="E65" s="57"/>
      <c r="F65" s="57"/>
      <c r="G65" s="57"/>
      <c r="H65" s="65"/>
      <c r="I65" s="59"/>
      <c r="J65" s="60"/>
      <c r="K65" s="57"/>
      <c r="L65" s="57"/>
      <c r="M65" s="57"/>
      <c r="N65" s="64"/>
      <c r="O65" s="56"/>
    </row>
    <row r="66" ht="14" spans="1:15">
      <c r="A66" s="57"/>
      <c r="B66" s="57"/>
      <c r="C66" s="61"/>
      <c r="D66" s="62"/>
      <c r="E66" s="57"/>
      <c r="F66" s="57"/>
      <c r="G66" s="57"/>
      <c r="H66" s="65"/>
      <c r="I66" s="59"/>
      <c r="J66" s="60"/>
      <c r="K66" s="57"/>
      <c r="L66" s="57"/>
      <c r="M66" s="57"/>
      <c r="N66" s="64"/>
      <c r="O66" s="56"/>
    </row>
    <row r="67" ht="14" spans="1:15">
      <c r="A67" s="57"/>
      <c r="B67" s="57"/>
      <c r="C67" s="61"/>
      <c r="D67" s="62"/>
      <c r="E67" s="57"/>
      <c r="F67" s="57"/>
      <c r="G67" s="57"/>
      <c r="H67" s="65"/>
      <c r="I67" s="59"/>
      <c r="J67" s="60"/>
      <c r="K67" s="57"/>
      <c r="L67" s="57"/>
      <c r="M67" s="57"/>
      <c r="N67" s="64"/>
      <c r="O67" s="56"/>
    </row>
    <row r="68" ht="14" spans="1:15">
      <c r="A68" s="57"/>
      <c r="B68" s="57"/>
      <c r="C68" s="61"/>
      <c r="D68" s="62"/>
      <c r="E68" s="57"/>
      <c r="F68" s="57"/>
      <c r="G68" s="57"/>
      <c r="H68" s="65"/>
      <c r="I68" s="59"/>
      <c r="J68" s="60"/>
      <c r="K68" s="57"/>
      <c r="L68" s="57"/>
      <c r="M68" s="57"/>
      <c r="N68" s="64"/>
      <c r="O68" s="56"/>
    </row>
    <row r="69" ht="14" spans="1:15">
      <c r="A69" s="57"/>
      <c r="B69" s="57"/>
      <c r="C69" s="61"/>
      <c r="D69" s="62"/>
      <c r="E69" s="57"/>
      <c r="F69" s="57"/>
      <c r="G69" s="57"/>
      <c r="H69" s="65"/>
      <c r="I69" s="59"/>
      <c r="J69" s="60"/>
      <c r="K69" s="57"/>
      <c r="L69" s="57"/>
      <c r="M69" s="57"/>
      <c r="N69" s="64"/>
      <c r="O69" s="56"/>
    </row>
    <row r="70" ht="14" spans="1:15">
      <c r="A70" s="57"/>
      <c r="B70" s="57"/>
      <c r="C70" s="61"/>
      <c r="D70" s="62"/>
      <c r="E70" s="57"/>
      <c r="F70" s="57"/>
      <c r="G70" s="57"/>
      <c r="H70" s="65"/>
      <c r="I70" s="59"/>
      <c r="J70" s="60"/>
      <c r="K70" s="57"/>
      <c r="L70" s="57"/>
      <c r="M70" s="57"/>
      <c r="N70" s="64"/>
      <c r="O70" s="56"/>
    </row>
    <row r="71" ht="14" spans="1:15">
      <c r="A71" s="57"/>
      <c r="B71" s="57"/>
      <c r="C71" s="61"/>
      <c r="D71" s="62"/>
      <c r="E71" s="57"/>
      <c r="F71" s="57"/>
      <c r="G71" s="57"/>
      <c r="H71" s="65"/>
      <c r="I71" s="59"/>
      <c r="J71" s="60"/>
      <c r="K71" s="57"/>
      <c r="L71" s="57"/>
      <c r="M71" s="57"/>
      <c r="N71" s="64"/>
      <c r="O71" s="56"/>
    </row>
    <row r="72" ht="14" spans="1:15">
      <c r="A72" s="57"/>
      <c r="B72" s="57"/>
      <c r="C72" s="61"/>
      <c r="D72" s="62"/>
      <c r="E72" s="57"/>
      <c r="F72" s="57"/>
      <c r="G72" s="57"/>
      <c r="H72" s="65"/>
      <c r="I72" s="59"/>
      <c r="J72" s="60"/>
      <c r="K72" s="57"/>
      <c r="L72" s="57"/>
      <c r="M72" s="57"/>
      <c r="N72" s="64"/>
      <c r="O72" s="56"/>
    </row>
    <row r="73" ht="14" spans="1:15">
      <c r="A73" s="57"/>
      <c r="B73" s="57"/>
      <c r="C73" s="61"/>
      <c r="D73" s="62"/>
      <c r="E73" s="57"/>
      <c r="F73" s="57"/>
      <c r="G73" s="57"/>
      <c r="H73" s="65"/>
      <c r="I73" s="59"/>
      <c r="J73" s="60"/>
      <c r="K73" s="57"/>
      <c r="L73" s="57"/>
      <c r="M73" s="57"/>
      <c r="N73" s="64"/>
      <c r="O73" s="56"/>
    </row>
    <row r="74" ht="14" spans="1:15">
      <c r="A74" s="57"/>
      <c r="B74" s="57"/>
      <c r="C74" s="61"/>
      <c r="D74" s="62"/>
      <c r="E74" s="57"/>
      <c r="F74" s="57"/>
      <c r="G74" s="57"/>
      <c r="H74" s="65"/>
      <c r="I74" s="59"/>
      <c r="J74" s="60"/>
      <c r="K74" s="57"/>
      <c r="L74" s="57"/>
      <c r="M74" s="57"/>
      <c r="N74" s="64"/>
      <c r="O74" s="56"/>
    </row>
    <row r="75" ht="14" spans="1:15">
      <c r="A75" s="57"/>
      <c r="B75" s="57"/>
      <c r="C75" s="61"/>
      <c r="D75" s="62"/>
      <c r="E75" s="57"/>
      <c r="F75" s="57"/>
      <c r="G75" s="57"/>
      <c r="H75" s="65"/>
      <c r="I75" s="59"/>
      <c r="J75" s="60"/>
      <c r="K75" s="57"/>
      <c r="L75" s="57"/>
      <c r="M75" s="57"/>
      <c r="N75" s="64"/>
      <c r="O75" s="56"/>
    </row>
    <row r="76" ht="14" spans="1:15">
      <c r="A76" s="57"/>
      <c r="B76" s="57"/>
      <c r="C76" s="61"/>
      <c r="D76" s="62"/>
      <c r="E76" s="57"/>
      <c r="F76" s="57"/>
      <c r="G76" s="57"/>
      <c r="H76" s="65"/>
      <c r="I76" s="59"/>
      <c r="J76" s="60"/>
      <c r="K76" s="57"/>
      <c r="L76" s="57"/>
      <c r="M76" s="57"/>
      <c r="N76" s="64"/>
      <c r="O76" s="56"/>
    </row>
    <row r="77" ht="14" spans="1:15">
      <c r="A77" s="57"/>
      <c r="B77" s="57"/>
      <c r="C77" s="61"/>
      <c r="D77" s="62"/>
      <c r="E77" s="57"/>
      <c r="F77" s="57"/>
      <c r="G77" s="57"/>
      <c r="H77" s="65"/>
      <c r="I77" s="59"/>
      <c r="J77" s="60"/>
      <c r="K77" s="57"/>
      <c r="L77" s="57"/>
      <c r="M77" s="57"/>
      <c r="N77" s="64"/>
      <c r="O77" s="56"/>
    </row>
    <row r="78" ht="14" spans="1:15">
      <c r="A78" s="57"/>
      <c r="B78" s="57"/>
      <c r="C78" s="61"/>
      <c r="D78" s="62"/>
      <c r="E78" s="57"/>
      <c r="F78" s="57"/>
      <c r="G78" s="57"/>
      <c r="H78" s="65"/>
      <c r="I78" s="59"/>
      <c r="J78" s="60"/>
      <c r="K78" s="57"/>
      <c r="L78" s="57"/>
      <c r="M78" s="57"/>
      <c r="N78" s="64"/>
      <c r="O78" s="56"/>
    </row>
    <row r="79" ht="14" spans="1:15">
      <c r="A79" s="57"/>
      <c r="B79" s="57"/>
      <c r="C79" s="61"/>
      <c r="D79" s="62"/>
      <c r="E79" s="57"/>
      <c r="F79" s="57"/>
      <c r="G79" s="57"/>
      <c r="H79" s="65"/>
      <c r="I79" s="59"/>
      <c r="J79" s="60"/>
      <c r="K79" s="57"/>
      <c r="L79" s="57"/>
      <c r="M79" s="57"/>
      <c r="N79" s="64"/>
      <c r="O79" s="56"/>
    </row>
    <row r="80" ht="14" spans="1:15">
      <c r="A80" s="57"/>
      <c r="B80" s="57"/>
      <c r="C80" s="61"/>
      <c r="D80" s="62"/>
      <c r="E80" s="57"/>
      <c r="F80" s="57"/>
      <c r="G80" s="57"/>
      <c r="H80" s="65"/>
      <c r="I80" s="59"/>
      <c r="J80" s="60"/>
      <c r="K80" s="57"/>
      <c r="L80" s="57"/>
      <c r="M80" s="57"/>
      <c r="N80" s="64"/>
      <c r="O80" s="56"/>
    </row>
    <row r="81" ht="14" spans="1:15">
      <c r="A81" s="57"/>
      <c r="B81" s="57"/>
      <c r="C81" s="61"/>
      <c r="D81" s="62"/>
      <c r="E81" s="57"/>
      <c r="F81" s="57"/>
      <c r="G81" s="57"/>
      <c r="H81" s="65"/>
      <c r="I81" s="59"/>
      <c r="J81" s="60"/>
      <c r="K81" s="57"/>
      <c r="L81" s="57"/>
      <c r="M81" s="57"/>
      <c r="N81" s="64"/>
      <c r="O81" s="56"/>
    </row>
    <row r="82" ht="14" spans="1:15">
      <c r="A82" s="57"/>
      <c r="B82" s="57"/>
      <c r="C82" s="61"/>
      <c r="D82" s="62"/>
      <c r="E82" s="57"/>
      <c r="F82" s="57"/>
      <c r="G82" s="57"/>
      <c r="H82" s="65"/>
      <c r="I82" s="59"/>
      <c r="J82" s="60"/>
      <c r="K82" s="57"/>
      <c r="L82" s="57"/>
      <c r="M82" s="57"/>
      <c r="N82" s="64"/>
      <c r="O82" s="56"/>
    </row>
    <row r="83" ht="14" spans="1:15">
      <c r="A83" s="57"/>
      <c r="B83" s="57"/>
      <c r="C83" s="61"/>
      <c r="D83" s="62"/>
      <c r="E83" s="57"/>
      <c r="F83" s="57"/>
      <c r="G83" s="57"/>
      <c r="H83" s="65"/>
      <c r="I83" s="59"/>
      <c r="J83" s="60"/>
      <c r="K83" s="57"/>
      <c r="L83" s="57"/>
      <c r="M83" s="57"/>
      <c r="N83" s="64"/>
      <c r="O83" s="56"/>
    </row>
    <row r="84" ht="14" spans="1:15">
      <c r="A84" s="57"/>
      <c r="B84" s="57"/>
      <c r="C84" s="61"/>
      <c r="D84" s="62"/>
      <c r="E84" s="57"/>
      <c r="F84" s="57"/>
      <c r="G84" s="57"/>
      <c r="H84" s="65"/>
      <c r="I84" s="59"/>
      <c r="J84" s="60"/>
      <c r="K84" s="57"/>
      <c r="L84" s="57"/>
      <c r="M84" s="57"/>
      <c r="N84" s="64"/>
      <c r="O84" s="56"/>
    </row>
    <row r="85" ht="14" spans="1:15">
      <c r="A85" s="57"/>
      <c r="B85" s="57"/>
      <c r="C85" s="61"/>
      <c r="D85" s="62"/>
      <c r="E85" s="57"/>
      <c r="F85" s="57"/>
      <c r="G85" s="57"/>
      <c r="H85" s="65"/>
      <c r="I85" s="59"/>
      <c r="J85" s="60"/>
      <c r="K85" s="57"/>
      <c r="L85" s="57"/>
      <c r="M85" s="57"/>
      <c r="N85" s="64"/>
      <c r="O85" s="56"/>
    </row>
    <row r="86" ht="14" spans="1:15">
      <c r="A86" s="57"/>
      <c r="B86" s="57"/>
      <c r="C86" s="61"/>
      <c r="D86" s="62"/>
      <c r="E86" s="57"/>
      <c r="F86" s="57"/>
      <c r="G86" s="57"/>
      <c r="H86" s="65"/>
      <c r="I86" s="59"/>
      <c r="J86" s="60"/>
      <c r="K86" s="57"/>
      <c r="L86" s="57"/>
      <c r="M86" s="57"/>
      <c r="N86" s="64"/>
      <c r="O86" s="56"/>
    </row>
    <row r="87" ht="14" spans="1:15">
      <c r="A87" s="57"/>
      <c r="B87" s="57"/>
      <c r="C87" s="61"/>
      <c r="D87" s="62"/>
      <c r="E87" s="57"/>
      <c r="F87" s="57"/>
      <c r="G87" s="57"/>
      <c r="H87" s="65"/>
      <c r="I87" s="59"/>
      <c r="J87" s="60"/>
      <c r="K87" s="57"/>
      <c r="L87" s="57"/>
      <c r="M87" s="57"/>
      <c r="N87" s="64"/>
      <c r="O87" s="56"/>
    </row>
    <row r="88" ht="14" spans="1:15">
      <c r="A88" s="57"/>
      <c r="B88" s="57"/>
      <c r="C88" s="61"/>
      <c r="D88" s="62"/>
      <c r="E88" s="57"/>
      <c r="F88" s="57"/>
      <c r="G88" s="57"/>
      <c r="H88" s="65"/>
      <c r="I88" s="59"/>
      <c r="J88" s="60"/>
      <c r="K88" s="57"/>
      <c r="L88" s="57"/>
      <c r="M88" s="57"/>
      <c r="N88" s="64"/>
      <c r="O88" s="56"/>
    </row>
    <row r="89" ht="14" spans="1:15">
      <c r="A89" s="57"/>
      <c r="B89" s="57"/>
      <c r="C89" s="61"/>
      <c r="D89" s="62"/>
      <c r="E89" s="57"/>
      <c r="F89" s="57"/>
      <c r="G89" s="57"/>
      <c r="H89" s="65"/>
      <c r="I89" s="59"/>
      <c r="J89" s="60"/>
      <c r="K89" s="57"/>
      <c r="L89" s="57"/>
      <c r="M89" s="57"/>
      <c r="N89" s="64"/>
      <c r="O89" s="56"/>
    </row>
    <row r="90" ht="14" spans="1:15">
      <c r="A90" s="57"/>
      <c r="B90" s="57"/>
      <c r="C90" s="61"/>
      <c r="D90" s="62"/>
      <c r="E90" s="57"/>
      <c r="F90" s="57"/>
      <c r="G90" s="57"/>
      <c r="H90" s="65"/>
      <c r="I90" s="59"/>
      <c r="J90" s="60"/>
      <c r="K90" s="57"/>
      <c r="L90" s="57"/>
      <c r="M90" s="57"/>
      <c r="N90" s="64"/>
      <c r="O90" s="56"/>
    </row>
    <row r="91" ht="14" spans="1:15">
      <c r="A91" s="57"/>
      <c r="B91" s="57"/>
      <c r="C91" s="61"/>
      <c r="D91" s="62"/>
      <c r="E91" s="57"/>
      <c r="F91" s="57"/>
      <c r="G91" s="57"/>
      <c r="H91" s="65"/>
      <c r="I91" s="59"/>
      <c r="J91" s="60"/>
      <c r="K91" s="57"/>
      <c r="L91" s="57"/>
      <c r="M91" s="57"/>
      <c r="N91" s="64"/>
      <c r="O91" s="56"/>
    </row>
    <row r="92" ht="14" spans="1:15">
      <c r="A92" s="57"/>
      <c r="B92" s="57"/>
      <c r="C92" s="61"/>
      <c r="D92" s="62"/>
      <c r="E92" s="57"/>
      <c r="F92" s="57"/>
      <c r="G92" s="57"/>
      <c r="H92" s="65"/>
      <c r="I92" s="59"/>
      <c r="J92" s="60"/>
      <c r="K92" s="57"/>
      <c r="L92" s="57"/>
      <c r="M92" s="57"/>
      <c r="N92" s="64"/>
      <c r="O92" s="56"/>
    </row>
    <row r="93" ht="14" spans="1:15">
      <c r="A93" s="57"/>
      <c r="B93" s="57"/>
      <c r="C93" s="61"/>
      <c r="D93" s="62"/>
      <c r="E93" s="57"/>
      <c r="F93" s="57"/>
      <c r="G93" s="57"/>
      <c r="H93" s="65"/>
      <c r="I93" s="59"/>
      <c r="J93" s="60"/>
      <c r="K93" s="57"/>
      <c r="L93" s="57"/>
      <c r="M93" s="57"/>
      <c r="N93" s="64"/>
      <c r="O93" s="56"/>
    </row>
    <row r="94" ht="14" spans="1:15">
      <c r="A94" s="57"/>
      <c r="B94" s="57"/>
      <c r="C94" s="61"/>
      <c r="D94" s="62"/>
      <c r="E94" s="57"/>
      <c r="F94" s="57"/>
      <c r="G94" s="57"/>
      <c r="H94" s="65"/>
      <c r="I94" s="59"/>
      <c r="J94" s="60"/>
      <c r="K94" s="57"/>
      <c r="L94" s="57"/>
      <c r="M94" s="57"/>
      <c r="N94" s="64"/>
      <c r="O94" s="56"/>
    </row>
    <row r="95" ht="14" spans="1:15">
      <c r="A95" s="57"/>
      <c r="B95" s="57"/>
      <c r="C95" s="61"/>
      <c r="D95" s="62"/>
      <c r="E95" s="57"/>
      <c r="F95" s="57"/>
      <c r="G95" s="57"/>
      <c r="H95" s="65"/>
      <c r="I95" s="59"/>
      <c r="J95" s="60"/>
      <c r="K95" s="57"/>
      <c r="L95" s="57"/>
      <c r="M95" s="57"/>
      <c r="N95" s="64"/>
      <c r="O95" s="56"/>
    </row>
    <row r="96" ht="14" spans="1:15">
      <c r="A96" s="57"/>
      <c r="B96" s="57"/>
      <c r="C96" s="61"/>
      <c r="D96" s="62"/>
      <c r="E96" s="57"/>
      <c r="F96" s="57"/>
      <c r="G96" s="57"/>
      <c r="H96" s="65"/>
      <c r="I96" s="59"/>
      <c r="J96" s="60"/>
      <c r="K96" s="57"/>
      <c r="L96" s="57"/>
      <c r="M96" s="57"/>
      <c r="N96" s="64"/>
      <c r="O96" s="56"/>
    </row>
    <row r="97" ht="14" spans="1:15">
      <c r="A97" s="57"/>
      <c r="B97" s="57"/>
      <c r="C97" s="61"/>
      <c r="D97" s="62"/>
      <c r="E97" s="57"/>
      <c r="F97" s="57"/>
      <c r="G97" s="57"/>
      <c r="H97" s="65"/>
      <c r="I97" s="59"/>
      <c r="J97" s="60"/>
      <c r="K97" s="57"/>
      <c r="L97" s="57"/>
      <c r="M97" s="57"/>
      <c r="N97" s="64"/>
      <c r="O97" s="56"/>
    </row>
    <row r="98" ht="14" spans="1:15">
      <c r="A98" s="57"/>
      <c r="B98" s="57"/>
      <c r="C98" s="61"/>
      <c r="D98" s="62"/>
      <c r="E98" s="57"/>
      <c r="F98" s="57"/>
      <c r="G98" s="57"/>
      <c r="H98" s="65"/>
      <c r="I98" s="59"/>
      <c r="J98" s="60"/>
      <c r="K98" s="57"/>
      <c r="L98" s="57"/>
      <c r="M98" s="57"/>
      <c r="N98" s="64"/>
      <c r="O98" s="56"/>
    </row>
    <row r="99" ht="14" spans="1:15">
      <c r="A99" s="57"/>
      <c r="B99" s="57"/>
      <c r="C99" s="61"/>
      <c r="D99" s="62"/>
      <c r="E99" s="57"/>
      <c r="F99" s="57"/>
      <c r="G99" s="57"/>
      <c r="H99" s="65"/>
      <c r="I99" s="59"/>
      <c r="J99" s="60"/>
      <c r="K99" s="57"/>
      <c r="L99" s="57"/>
      <c r="M99" s="57"/>
      <c r="N99" s="64"/>
      <c r="O99" s="56"/>
    </row>
    <row r="100" ht="14" spans="1:15">
      <c r="A100" s="57"/>
      <c r="B100" s="57"/>
      <c r="C100" s="61"/>
      <c r="D100" s="62"/>
      <c r="E100" s="57"/>
      <c r="F100" s="57"/>
      <c r="G100" s="57"/>
      <c r="H100" s="65"/>
      <c r="I100" s="59"/>
      <c r="J100" s="60"/>
      <c r="K100" s="57"/>
      <c r="L100" s="57"/>
      <c r="M100" s="57"/>
      <c r="N100" s="64"/>
      <c r="O100" s="56"/>
    </row>
    <row r="101" ht="14" spans="1:15">
      <c r="A101" s="57"/>
      <c r="B101" s="57"/>
      <c r="C101" s="61"/>
      <c r="D101" s="62"/>
      <c r="E101" s="57"/>
      <c r="F101" s="57"/>
      <c r="G101" s="57"/>
      <c r="H101" s="65"/>
      <c r="I101" s="59"/>
      <c r="J101" s="60"/>
      <c r="K101" s="57"/>
      <c r="L101" s="57"/>
      <c r="M101" s="57"/>
      <c r="N101" s="64"/>
      <c r="O101" s="56"/>
    </row>
    <row r="102" ht="14" spans="1:15">
      <c r="A102" s="57"/>
      <c r="B102" s="57"/>
      <c r="C102" s="61"/>
      <c r="D102" s="62"/>
      <c r="E102" s="57"/>
      <c r="F102" s="57"/>
      <c r="G102" s="57"/>
      <c r="H102" s="65"/>
      <c r="I102" s="59"/>
      <c r="J102" s="60"/>
      <c r="K102" s="57"/>
      <c r="L102" s="57"/>
      <c r="M102" s="57"/>
      <c r="N102" s="64"/>
      <c r="O102" s="56"/>
    </row>
    <row r="103" ht="14" spans="1:15">
      <c r="A103" s="57"/>
      <c r="B103" s="57"/>
      <c r="C103" s="61"/>
      <c r="D103" s="62"/>
      <c r="E103" s="57"/>
      <c r="F103" s="57"/>
      <c r="G103" s="57"/>
      <c r="H103" s="65"/>
      <c r="I103" s="59"/>
      <c r="J103" s="60"/>
      <c r="K103" s="57"/>
      <c r="L103" s="57"/>
      <c r="M103" s="57"/>
      <c r="N103" s="64"/>
      <c r="O103" s="56"/>
    </row>
    <row r="104" ht="14" spans="1:15">
      <c r="A104" s="57"/>
      <c r="B104" s="57"/>
      <c r="C104" s="61"/>
      <c r="D104" s="62"/>
      <c r="E104" s="57"/>
      <c r="F104" s="57"/>
      <c r="G104" s="57"/>
      <c r="H104" s="65"/>
      <c r="I104" s="59"/>
      <c r="J104" s="60"/>
      <c r="K104" s="57"/>
      <c r="L104" s="57"/>
      <c r="M104" s="57"/>
      <c r="N104" s="64"/>
      <c r="O104" s="56"/>
    </row>
    <row r="105" ht="14" spans="1:15">
      <c r="A105" s="57"/>
      <c r="B105" s="57"/>
      <c r="C105" s="61"/>
      <c r="D105" s="62"/>
      <c r="E105" s="57"/>
      <c r="F105" s="57"/>
      <c r="G105" s="57"/>
      <c r="H105" s="65"/>
      <c r="I105" s="59"/>
      <c r="J105" s="60"/>
      <c r="K105" s="57"/>
      <c r="L105" s="57"/>
      <c r="M105" s="57"/>
      <c r="N105" s="64"/>
      <c r="O105" s="56"/>
    </row>
    <row r="106" ht="14" spans="1:15">
      <c r="A106" s="57"/>
      <c r="B106" s="57"/>
      <c r="C106" s="61"/>
      <c r="D106" s="62"/>
      <c r="E106" s="57"/>
      <c r="F106" s="57"/>
      <c r="G106" s="57"/>
      <c r="H106" s="65"/>
      <c r="I106" s="59"/>
      <c r="J106" s="60"/>
      <c r="K106" s="57"/>
      <c r="L106" s="57"/>
      <c r="M106" s="57"/>
      <c r="N106" s="64"/>
      <c r="O106" s="56"/>
    </row>
    <row r="107" ht="14" spans="1:15">
      <c r="A107" s="57"/>
      <c r="B107" s="57"/>
      <c r="C107" s="61"/>
      <c r="D107" s="62"/>
      <c r="E107" s="57"/>
      <c r="F107" s="57"/>
      <c r="G107" s="57"/>
      <c r="H107" s="65"/>
      <c r="I107" s="59"/>
      <c r="J107" s="60"/>
      <c r="K107" s="57"/>
      <c r="L107" s="57"/>
      <c r="M107" s="57"/>
      <c r="N107" s="64"/>
      <c r="O107" s="56"/>
    </row>
    <row r="108" ht="14" spans="1:15">
      <c r="A108" s="57"/>
      <c r="B108" s="57"/>
      <c r="C108" s="61"/>
      <c r="D108" s="62"/>
      <c r="E108" s="57"/>
      <c r="F108" s="57"/>
      <c r="G108" s="57"/>
      <c r="H108" s="65"/>
      <c r="I108" s="59"/>
      <c r="J108" s="60"/>
      <c r="K108" s="57"/>
      <c r="L108" s="57"/>
      <c r="M108" s="57"/>
      <c r="N108" s="64"/>
      <c r="O108" s="56"/>
    </row>
    <row r="109" ht="14" spans="1:15">
      <c r="A109" s="57"/>
      <c r="B109" s="57"/>
      <c r="C109" s="61"/>
      <c r="D109" s="62"/>
      <c r="E109" s="57"/>
      <c r="F109" s="57"/>
      <c r="G109" s="57"/>
      <c r="H109" s="65"/>
      <c r="I109" s="59"/>
      <c r="J109" s="60"/>
      <c r="K109" s="57"/>
      <c r="L109" s="57"/>
      <c r="M109" s="57"/>
      <c r="N109" s="64"/>
      <c r="O109" s="56"/>
    </row>
    <row r="110" ht="14" spans="1:15">
      <c r="A110" s="57"/>
      <c r="B110" s="57"/>
      <c r="C110" s="61"/>
      <c r="D110" s="62"/>
      <c r="E110" s="57"/>
      <c r="F110" s="57"/>
      <c r="G110" s="57"/>
      <c r="H110" s="65"/>
      <c r="I110" s="59"/>
      <c r="J110" s="60"/>
      <c r="K110" s="57"/>
      <c r="L110" s="57"/>
      <c r="M110" s="57"/>
      <c r="N110" s="64"/>
      <c r="O110" s="56"/>
    </row>
    <row r="111" ht="14" spans="1:15">
      <c r="A111" s="57"/>
      <c r="B111" s="57"/>
      <c r="C111" s="61"/>
      <c r="D111" s="62"/>
      <c r="E111" s="57"/>
      <c r="F111" s="57"/>
      <c r="G111" s="57"/>
      <c r="H111" s="65"/>
      <c r="I111" s="59"/>
      <c r="J111" s="60"/>
      <c r="K111" s="57"/>
      <c r="L111" s="57"/>
      <c r="M111" s="57"/>
      <c r="N111" s="64"/>
      <c r="O111" s="56"/>
    </row>
    <row r="112" ht="14" spans="1:15">
      <c r="A112" s="57"/>
      <c r="B112" s="57"/>
      <c r="C112" s="61"/>
      <c r="D112" s="62"/>
      <c r="E112" s="57"/>
      <c r="F112" s="57"/>
      <c r="G112" s="57"/>
      <c r="H112" s="65"/>
      <c r="I112" s="59"/>
      <c r="J112" s="60"/>
      <c r="K112" s="57"/>
      <c r="L112" s="57"/>
      <c r="M112" s="57"/>
      <c r="N112" s="64"/>
      <c r="O112" s="56"/>
    </row>
    <row r="113" ht="14" spans="1:15">
      <c r="A113" s="57"/>
      <c r="B113" s="57"/>
      <c r="C113" s="61"/>
      <c r="D113" s="62"/>
      <c r="E113" s="57"/>
      <c r="F113" s="57"/>
      <c r="G113" s="57"/>
      <c r="H113" s="65"/>
      <c r="I113" s="59"/>
      <c r="J113" s="60"/>
      <c r="K113" s="57"/>
      <c r="L113" s="57"/>
      <c r="M113" s="57"/>
      <c r="N113" s="64"/>
      <c r="O113" s="56"/>
    </row>
    <row r="114" ht="14" spans="1:15">
      <c r="A114" s="57"/>
      <c r="B114" s="57"/>
      <c r="C114" s="61"/>
      <c r="D114" s="62"/>
      <c r="E114" s="57"/>
      <c r="F114" s="57"/>
      <c r="G114" s="57"/>
      <c r="H114" s="65"/>
      <c r="I114" s="59"/>
      <c r="J114" s="60"/>
      <c r="K114" s="57"/>
      <c r="L114" s="57"/>
      <c r="M114" s="57"/>
      <c r="N114" s="64"/>
      <c r="O114" s="56"/>
    </row>
    <row r="115" ht="14" spans="1:15">
      <c r="A115" s="57"/>
      <c r="B115" s="57"/>
      <c r="C115" s="61"/>
      <c r="D115" s="62"/>
      <c r="E115" s="57"/>
      <c r="F115" s="57"/>
      <c r="G115" s="57"/>
      <c r="H115" s="65"/>
      <c r="I115" s="59"/>
      <c r="J115" s="60"/>
      <c r="K115" s="57"/>
      <c r="L115" s="57"/>
      <c r="M115" s="57"/>
      <c r="N115" s="64"/>
      <c r="O115" s="56"/>
    </row>
    <row r="116" ht="14" spans="1:15">
      <c r="A116" s="57"/>
      <c r="B116" s="57"/>
      <c r="C116" s="61"/>
      <c r="D116" s="62"/>
      <c r="E116" s="57"/>
      <c r="F116" s="57"/>
      <c r="G116" s="57"/>
      <c r="H116" s="65"/>
      <c r="I116" s="59"/>
      <c r="J116" s="60"/>
      <c r="K116" s="57"/>
      <c r="L116" s="57"/>
      <c r="M116" s="57"/>
      <c r="N116" s="64"/>
      <c r="O116" s="56"/>
    </row>
    <row r="117" ht="14" spans="1:15">
      <c r="A117" s="57"/>
      <c r="B117" s="57"/>
      <c r="C117" s="61"/>
      <c r="D117" s="62"/>
      <c r="E117" s="57"/>
      <c r="F117" s="57"/>
      <c r="G117" s="57"/>
      <c r="H117" s="65"/>
      <c r="I117" s="59"/>
      <c r="J117" s="60"/>
      <c r="K117" s="57"/>
      <c r="L117" s="57"/>
      <c r="M117" s="57"/>
      <c r="N117" s="64"/>
      <c r="O117" s="56"/>
    </row>
    <row r="118" ht="14" spans="1:15">
      <c r="A118" s="57"/>
      <c r="B118" s="57"/>
      <c r="C118" s="61"/>
      <c r="D118" s="62"/>
      <c r="E118" s="57"/>
      <c r="F118" s="57"/>
      <c r="G118" s="57"/>
      <c r="H118" s="65"/>
      <c r="I118" s="59"/>
      <c r="J118" s="60"/>
      <c r="K118" s="57"/>
      <c r="L118" s="57"/>
      <c r="M118" s="57"/>
      <c r="N118" s="64"/>
      <c r="O118" s="56"/>
    </row>
    <row r="119" ht="14" spans="1:15">
      <c r="A119" s="57"/>
      <c r="B119" s="57"/>
      <c r="C119" s="61"/>
      <c r="D119" s="62"/>
      <c r="E119" s="57"/>
      <c r="F119" s="57"/>
      <c r="G119" s="57"/>
      <c r="H119" s="65"/>
      <c r="I119" s="59"/>
      <c r="J119" s="60"/>
      <c r="K119" s="57"/>
      <c r="L119" s="57"/>
      <c r="M119" s="57"/>
      <c r="N119" s="64"/>
      <c r="O119" s="56"/>
    </row>
    <row r="120" ht="14" spans="1:15">
      <c r="A120" s="57"/>
      <c r="B120" s="57"/>
      <c r="C120" s="61"/>
      <c r="D120" s="62"/>
      <c r="E120" s="57"/>
      <c r="F120" s="57"/>
      <c r="G120" s="57"/>
      <c r="H120" s="65"/>
      <c r="I120" s="59"/>
      <c r="J120" s="60"/>
      <c r="K120" s="57"/>
      <c r="L120" s="57"/>
      <c r="M120" s="57"/>
      <c r="N120" s="64"/>
      <c r="O120" s="56"/>
    </row>
    <row r="121" ht="14" spans="1:15">
      <c r="A121" s="57"/>
      <c r="B121" s="57"/>
      <c r="C121" s="61"/>
      <c r="D121" s="62"/>
      <c r="E121" s="57"/>
      <c r="F121" s="57"/>
      <c r="G121" s="57"/>
      <c r="H121" s="65"/>
      <c r="I121" s="59"/>
      <c r="J121" s="60"/>
      <c r="K121" s="57"/>
      <c r="L121" s="57"/>
      <c r="M121" s="57"/>
      <c r="N121" s="64"/>
      <c r="O121" s="56"/>
    </row>
    <row r="122" ht="14" spans="1:15">
      <c r="A122" s="57"/>
      <c r="B122" s="57"/>
      <c r="C122" s="61"/>
      <c r="D122" s="62"/>
      <c r="E122" s="57"/>
      <c r="F122" s="57"/>
      <c r="G122" s="57"/>
      <c r="H122" s="65"/>
      <c r="I122" s="59"/>
      <c r="J122" s="60"/>
      <c r="K122" s="57"/>
      <c r="L122" s="57"/>
      <c r="M122" s="57"/>
      <c r="N122" s="64"/>
      <c r="O122" s="56"/>
    </row>
    <row r="123" ht="14" spans="1:15">
      <c r="A123" s="57"/>
      <c r="B123" s="57"/>
      <c r="C123" s="61"/>
      <c r="D123" s="62"/>
      <c r="E123" s="57"/>
      <c r="F123" s="57"/>
      <c r="G123" s="57"/>
      <c r="H123" s="65"/>
      <c r="I123" s="59"/>
      <c r="J123" s="60"/>
      <c r="K123" s="57"/>
      <c r="L123" s="57"/>
      <c r="M123" s="57"/>
      <c r="N123" s="64"/>
      <c r="O123" s="56"/>
    </row>
    <row r="124" ht="14" spans="1:15">
      <c r="A124" s="57"/>
      <c r="B124" s="57"/>
      <c r="C124" s="61"/>
      <c r="D124" s="62"/>
      <c r="E124" s="57"/>
      <c r="F124" s="57"/>
      <c r="G124" s="57"/>
      <c r="H124" s="65"/>
      <c r="I124" s="59"/>
      <c r="J124" s="60"/>
      <c r="K124" s="57"/>
      <c r="L124" s="57"/>
      <c r="M124" s="57"/>
      <c r="N124" s="64"/>
      <c r="O124" s="56"/>
    </row>
    <row r="125" ht="14" spans="1:15">
      <c r="A125" s="57"/>
      <c r="B125" s="57"/>
      <c r="C125" s="61"/>
      <c r="D125" s="62"/>
      <c r="E125" s="57"/>
      <c r="F125" s="57"/>
      <c r="G125" s="57"/>
      <c r="H125" s="65"/>
      <c r="I125" s="59"/>
      <c r="J125" s="60"/>
      <c r="K125" s="57"/>
      <c r="L125" s="57"/>
      <c r="M125" s="57"/>
      <c r="N125" s="64"/>
      <c r="O125" s="56"/>
    </row>
    <row r="126" ht="14" spans="1:15">
      <c r="A126" s="57"/>
      <c r="B126" s="57"/>
      <c r="C126" s="61"/>
      <c r="D126" s="62"/>
      <c r="E126" s="57"/>
      <c r="F126" s="57"/>
      <c r="G126" s="57"/>
      <c r="H126" s="65"/>
      <c r="I126" s="59"/>
      <c r="J126" s="60"/>
      <c r="K126" s="57"/>
      <c r="L126" s="57"/>
      <c r="M126" s="57"/>
      <c r="N126" s="64"/>
      <c r="O126" s="56"/>
    </row>
    <row r="127" ht="14" spans="1:15">
      <c r="A127" s="57"/>
      <c r="B127" s="57"/>
      <c r="C127" s="61"/>
      <c r="D127" s="62"/>
      <c r="E127" s="57"/>
      <c r="F127" s="57"/>
      <c r="G127" s="57"/>
      <c r="H127" s="65"/>
      <c r="I127" s="59"/>
      <c r="J127" s="60"/>
      <c r="K127" s="57"/>
      <c r="L127" s="57"/>
      <c r="M127" s="57"/>
      <c r="N127" s="64"/>
      <c r="O127" s="56"/>
    </row>
    <row r="128" ht="14" spans="1:15">
      <c r="A128" s="57"/>
      <c r="B128" s="57"/>
      <c r="C128" s="61"/>
      <c r="D128" s="62"/>
      <c r="E128" s="57"/>
      <c r="F128" s="57"/>
      <c r="G128" s="57"/>
      <c r="H128" s="65"/>
      <c r="I128" s="59"/>
      <c r="J128" s="60"/>
      <c r="K128" s="57"/>
      <c r="L128" s="57"/>
      <c r="M128" s="57"/>
      <c r="N128" s="64"/>
      <c r="O128" s="56"/>
    </row>
    <row r="129" ht="14" spans="1:15">
      <c r="A129" s="57"/>
      <c r="B129" s="57"/>
      <c r="C129" s="61"/>
      <c r="D129" s="62"/>
      <c r="E129" s="57"/>
      <c r="F129" s="57"/>
      <c r="G129" s="57"/>
      <c r="H129" s="65"/>
      <c r="I129" s="59"/>
      <c r="J129" s="60"/>
      <c r="K129" s="57"/>
      <c r="L129" s="57"/>
      <c r="M129" s="57"/>
      <c r="N129" s="64"/>
      <c r="O129" s="56"/>
    </row>
    <row r="130" ht="14" spans="1:15">
      <c r="A130" s="57"/>
      <c r="B130" s="57"/>
      <c r="C130" s="61"/>
      <c r="D130" s="62"/>
      <c r="E130" s="57"/>
      <c r="F130" s="57"/>
      <c r="G130" s="57"/>
      <c r="H130" s="65"/>
      <c r="I130" s="59"/>
      <c r="J130" s="60"/>
      <c r="K130" s="57"/>
      <c r="L130" s="57"/>
      <c r="M130" s="57"/>
      <c r="N130" s="64"/>
      <c r="O130" s="56"/>
    </row>
    <row r="131" ht="14" spans="1:15">
      <c r="A131" s="57"/>
      <c r="B131" s="57"/>
      <c r="C131" s="61"/>
      <c r="D131" s="62"/>
      <c r="E131" s="57"/>
      <c r="F131" s="57"/>
      <c r="G131" s="57"/>
      <c r="H131" s="65"/>
      <c r="I131" s="59"/>
      <c r="J131" s="60"/>
      <c r="K131" s="57"/>
      <c r="L131" s="57"/>
      <c r="M131" s="57"/>
      <c r="N131" s="64"/>
      <c r="O131" s="56"/>
    </row>
    <row r="132" ht="14" spans="1:15">
      <c r="A132" s="57"/>
      <c r="B132" s="57"/>
      <c r="C132" s="61"/>
      <c r="D132" s="62"/>
      <c r="E132" s="57"/>
      <c r="F132" s="57"/>
      <c r="G132" s="57"/>
      <c r="H132" s="65"/>
      <c r="I132" s="59"/>
      <c r="J132" s="60"/>
      <c r="K132" s="57"/>
      <c r="L132" s="57"/>
      <c r="M132" s="57"/>
      <c r="N132" s="64"/>
      <c r="O132" s="56"/>
    </row>
    <row r="133" ht="14" spans="1:15">
      <c r="A133" s="57"/>
      <c r="B133" s="57"/>
      <c r="C133" s="61"/>
      <c r="D133" s="62"/>
      <c r="E133" s="57"/>
      <c r="F133" s="57"/>
      <c r="G133" s="57"/>
      <c r="H133" s="65"/>
      <c r="I133" s="59"/>
      <c r="J133" s="60"/>
      <c r="K133" s="57"/>
      <c r="L133" s="57"/>
      <c r="M133" s="57"/>
      <c r="N133" s="64"/>
      <c r="O133" s="56"/>
    </row>
    <row r="134" ht="14" spans="1:15">
      <c r="A134" s="57"/>
      <c r="B134" s="57"/>
      <c r="C134" s="61"/>
      <c r="D134" s="62"/>
      <c r="E134" s="57"/>
      <c r="F134" s="57"/>
      <c r="G134" s="57"/>
      <c r="H134" s="65"/>
      <c r="I134" s="59"/>
      <c r="J134" s="60"/>
      <c r="K134" s="57"/>
      <c r="L134" s="57"/>
      <c r="M134" s="57"/>
      <c r="N134" s="64"/>
      <c r="O134" s="56"/>
    </row>
    <row r="135" ht="14" spans="1:15">
      <c r="A135" s="57"/>
      <c r="B135" s="57"/>
      <c r="C135" s="61"/>
      <c r="D135" s="62"/>
      <c r="E135" s="57"/>
      <c r="F135" s="57"/>
      <c r="G135" s="57"/>
      <c r="H135" s="65"/>
      <c r="I135" s="59"/>
      <c r="J135" s="60"/>
      <c r="K135" s="57"/>
      <c r="L135" s="57"/>
      <c r="M135" s="57"/>
      <c r="N135" s="64"/>
      <c r="O135" s="56"/>
    </row>
    <row r="136" ht="14" spans="1:15">
      <c r="A136" s="57"/>
      <c r="B136" s="57"/>
      <c r="C136" s="61"/>
      <c r="D136" s="62"/>
      <c r="E136" s="57"/>
      <c r="F136" s="57"/>
      <c r="G136" s="57"/>
      <c r="H136" s="65"/>
      <c r="I136" s="59"/>
      <c r="J136" s="60"/>
      <c r="K136" s="57"/>
      <c r="L136" s="57"/>
      <c r="M136" s="57"/>
      <c r="N136" s="64"/>
      <c r="O136" s="56"/>
    </row>
    <row r="137" ht="14" spans="1:15">
      <c r="A137" s="57"/>
      <c r="B137" s="57"/>
      <c r="C137" s="61"/>
      <c r="D137" s="62"/>
      <c r="E137" s="57"/>
      <c r="F137" s="57"/>
      <c r="G137" s="57"/>
      <c r="H137" s="65"/>
      <c r="I137" s="59"/>
      <c r="J137" s="60"/>
      <c r="K137" s="57"/>
      <c r="L137" s="57"/>
      <c r="M137" s="57"/>
      <c r="N137" s="64"/>
      <c r="O137" s="56"/>
    </row>
    <row r="138" ht="14" spans="1:15">
      <c r="A138" s="57"/>
      <c r="B138" s="57"/>
      <c r="C138" s="61"/>
      <c r="D138" s="62"/>
      <c r="E138" s="57"/>
      <c r="F138" s="57"/>
      <c r="G138" s="57"/>
      <c r="H138" s="65"/>
      <c r="I138" s="59"/>
      <c r="J138" s="60"/>
      <c r="K138" s="57"/>
      <c r="L138" s="57"/>
      <c r="M138" s="57"/>
      <c r="N138" s="64"/>
      <c r="O138" s="56"/>
    </row>
    <row r="139" ht="14" spans="1:15">
      <c r="A139" s="57"/>
      <c r="B139" s="57"/>
      <c r="C139" s="61"/>
      <c r="D139" s="62"/>
      <c r="E139" s="57"/>
      <c r="F139" s="57"/>
      <c r="G139" s="57"/>
      <c r="H139" s="65"/>
      <c r="I139" s="59"/>
      <c r="J139" s="60"/>
      <c r="K139" s="57"/>
      <c r="L139" s="57"/>
      <c r="M139" s="57"/>
      <c r="N139" s="64"/>
      <c r="O139" s="56"/>
    </row>
    <row r="140" ht="14" spans="1:15">
      <c r="A140" s="57"/>
      <c r="B140" s="57"/>
      <c r="C140" s="61"/>
      <c r="D140" s="62"/>
      <c r="E140" s="57"/>
      <c r="F140" s="57"/>
      <c r="G140" s="57"/>
      <c r="H140" s="65"/>
      <c r="I140" s="59"/>
      <c r="J140" s="60"/>
      <c r="K140" s="57"/>
      <c r="L140" s="57"/>
      <c r="M140" s="57"/>
      <c r="N140" s="64"/>
      <c r="O140" s="56"/>
    </row>
    <row r="141" ht="14" spans="1:15">
      <c r="A141" s="57"/>
      <c r="B141" s="57"/>
      <c r="C141" s="61"/>
      <c r="D141" s="62"/>
      <c r="E141" s="57"/>
      <c r="F141" s="57"/>
      <c r="G141" s="57"/>
      <c r="H141" s="65"/>
      <c r="I141" s="59"/>
      <c r="J141" s="60"/>
      <c r="K141" s="57"/>
      <c r="L141" s="57"/>
      <c r="M141" s="57"/>
      <c r="N141" s="64"/>
      <c r="O141" s="56"/>
    </row>
    <row r="142" ht="14" spans="1:15">
      <c r="A142" s="57"/>
      <c r="B142" s="57"/>
      <c r="C142" s="61"/>
      <c r="D142" s="62"/>
      <c r="E142" s="57"/>
      <c r="F142" s="57"/>
      <c r="G142" s="57"/>
      <c r="H142" s="65"/>
      <c r="I142" s="59"/>
      <c r="J142" s="60"/>
      <c r="K142" s="57"/>
      <c r="L142" s="57"/>
      <c r="M142" s="57"/>
      <c r="N142" s="64"/>
      <c r="O142" s="56"/>
    </row>
    <row r="143" ht="14" spans="1:15">
      <c r="A143" s="57"/>
      <c r="B143" s="57"/>
      <c r="C143" s="61"/>
      <c r="D143" s="62"/>
      <c r="E143" s="57"/>
      <c r="F143" s="57"/>
      <c r="G143" s="57"/>
      <c r="H143" s="65"/>
      <c r="I143" s="59"/>
      <c r="J143" s="60"/>
      <c r="K143" s="57"/>
      <c r="L143" s="57"/>
      <c r="M143" s="57"/>
      <c r="N143" s="64"/>
      <c r="O143" s="56"/>
    </row>
    <row r="144" ht="14" spans="1:15">
      <c r="A144" s="57"/>
      <c r="B144" s="57"/>
      <c r="C144" s="61"/>
      <c r="D144" s="62"/>
      <c r="E144" s="57"/>
      <c r="F144" s="57"/>
      <c r="G144" s="57"/>
      <c r="H144" s="65"/>
      <c r="I144" s="59"/>
      <c r="J144" s="60"/>
      <c r="K144" s="57"/>
      <c r="L144" s="57"/>
      <c r="M144" s="57"/>
      <c r="N144" s="64"/>
      <c r="O144" s="56"/>
    </row>
    <row r="145" ht="14" spans="1:15">
      <c r="A145" s="57"/>
      <c r="B145" s="57"/>
      <c r="C145" s="61"/>
      <c r="D145" s="62"/>
      <c r="E145" s="57"/>
      <c r="F145" s="57"/>
      <c r="G145" s="57"/>
      <c r="H145" s="65"/>
      <c r="I145" s="59"/>
      <c r="J145" s="60"/>
      <c r="K145" s="57"/>
      <c r="L145" s="57"/>
      <c r="M145" s="57"/>
      <c r="N145" s="64"/>
      <c r="O145" s="56"/>
    </row>
    <row r="146" ht="14" spans="1:15">
      <c r="A146" s="57"/>
      <c r="B146" s="57"/>
      <c r="C146" s="61"/>
      <c r="D146" s="62"/>
      <c r="E146" s="57"/>
      <c r="F146" s="57"/>
      <c r="G146" s="57"/>
      <c r="H146" s="65"/>
      <c r="I146" s="59"/>
      <c r="J146" s="60"/>
      <c r="K146" s="57"/>
      <c r="L146" s="57"/>
      <c r="M146" s="57"/>
      <c r="N146" s="64"/>
      <c r="O146" s="56"/>
    </row>
    <row r="147" ht="14" spans="1:15">
      <c r="A147" s="57"/>
      <c r="B147" s="57"/>
      <c r="C147" s="61"/>
      <c r="D147" s="62"/>
      <c r="E147" s="57"/>
      <c r="F147" s="57"/>
      <c r="G147" s="57"/>
      <c r="H147" s="65"/>
      <c r="I147" s="59"/>
      <c r="J147" s="60"/>
      <c r="K147" s="57"/>
      <c r="L147" s="57"/>
      <c r="M147" s="57"/>
      <c r="N147" s="64"/>
      <c r="O147" s="56"/>
    </row>
    <row r="148" ht="14" spans="1:15">
      <c r="A148" s="57"/>
      <c r="B148" s="57"/>
      <c r="C148" s="61"/>
      <c r="D148" s="62"/>
      <c r="E148" s="57"/>
      <c r="F148" s="57"/>
      <c r="G148" s="57"/>
      <c r="H148" s="65"/>
      <c r="I148" s="59"/>
      <c r="J148" s="60"/>
      <c r="K148" s="57"/>
      <c r="L148" s="57"/>
      <c r="M148" s="57"/>
      <c r="N148" s="64"/>
      <c r="O148" s="56"/>
    </row>
    <row r="149" ht="14" spans="1:15">
      <c r="A149" s="57"/>
      <c r="B149" s="57"/>
      <c r="C149" s="61"/>
      <c r="D149" s="62"/>
      <c r="E149" s="57"/>
      <c r="F149" s="57"/>
      <c r="G149" s="57"/>
      <c r="H149" s="65"/>
      <c r="I149" s="59"/>
      <c r="J149" s="60"/>
      <c r="K149" s="57"/>
      <c r="L149" s="57"/>
      <c r="M149" s="57"/>
      <c r="N149" s="64"/>
      <c r="O149" s="56"/>
    </row>
    <row r="150" ht="14" spans="1:15">
      <c r="A150" s="57"/>
      <c r="B150" s="57"/>
      <c r="C150" s="61"/>
      <c r="D150" s="62"/>
      <c r="E150" s="57"/>
      <c r="F150" s="57"/>
      <c r="G150" s="57"/>
      <c r="H150" s="65"/>
      <c r="I150" s="59"/>
      <c r="J150" s="60"/>
      <c r="K150" s="57"/>
      <c r="L150" s="57"/>
      <c r="M150" s="57"/>
      <c r="N150" s="64"/>
      <c r="O150" s="56"/>
    </row>
    <row r="151" ht="14" spans="1:15">
      <c r="A151" s="57"/>
      <c r="B151" s="57"/>
      <c r="C151" s="61"/>
      <c r="D151" s="62"/>
      <c r="E151" s="57"/>
      <c r="F151" s="57"/>
      <c r="G151" s="57"/>
      <c r="H151" s="65"/>
      <c r="I151" s="59"/>
      <c r="J151" s="60"/>
      <c r="K151" s="57"/>
      <c r="L151" s="57"/>
      <c r="M151" s="57"/>
      <c r="N151" s="64"/>
      <c r="O151" s="56"/>
    </row>
    <row r="152" ht="14" spans="1:15">
      <c r="A152" s="57"/>
      <c r="B152" s="57"/>
      <c r="C152" s="61"/>
      <c r="D152" s="62"/>
      <c r="E152" s="57"/>
      <c r="F152" s="57"/>
      <c r="G152" s="57"/>
      <c r="H152" s="65"/>
      <c r="I152" s="59"/>
      <c r="J152" s="60"/>
      <c r="K152" s="57"/>
      <c r="L152" s="57"/>
      <c r="M152" s="57"/>
      <c r="N152" s="64"/>
      <c r="O152" s="56"/>
    </row>
    <row r="153" ht="14" spans="1:15">
      <c r="A153" s="57"/>
      <c r="B153" s="57"/>
      <c r="C153" s="61"/>
      <c r="D153" s="62"/>
      <c r="E153" s="57"/>
      <c r="F153" s="57"/>
      <c r="G153" s="57"/>
      <c r="H153" s="65"/>
      <c r="I153" s="59"/>
      <c r="J153" s="60"/>
      <c r="K153" s="57"/>
      <c r="L153" s="57"/>
      <c r="M153" s="57"/>
      <c r="N153" s="64"/>
      <c r="O153" s="56"/>
    </row>
    <row r="154" ht="14" spans="1:15">
      <c r="A154" s="57"/>
      <c r="B154" s="57"/>
      <c r="C154" s="61"/>
      <c r="D154" s="62"/>
      <c r="E154" s="57"/>
      <c r="F154" s="57"/>
      <c r="G154" s="57"/>
      <c r="H154" s="65"/>
      <c r="I154" s="59"/>
      <c r="J154" s="60"/>
      <c r="K154" s="57"/>
      <c r="L154" s="57"/>
      <c r="M154" s="57"/>
      <c r="N154" s="64"/>
      <c r="O154" s="56"/>
    </row>
    <row r="155" ht="14" spans="1:15">
      <c r="A155" s="57"/>
      <c r="B155" s="57"/>
      <c r="C155" s="61"/>
      <c r="D155" s="62"/>
      <c r="E155" s="57"/>
      <c r="F155" s="57"/>
      <c r="G155" s="57"/>
      <c r="H155" s="65"/>
      <c r="I155" s="59"/>
      <c r="J155" s="60"/>
      <c r="K155" s="57"/>
      <c r="L155" s="57"/>
      <c r="M155" s="57"/>
      <c r="N155" s="64"/>
      <c r="O155" s="56"/>
    </row>
    <row r="156" ht="14" spans="1:15">
      <c r="A156" s="57"/>
      <c r="B156" s="57"/>
      <c r="C156" s="61"/>
      <c r="D156" s="62"/>
      <c r="E156" s="57"/>
      <c r="F156" s="57"/>
      <c r="G156" s="57"/>
      <c r="H156" s="65"/>
      <c r="I156" s="59"/>
      <c r="J156" s="60"/>
      <c r="K156" s="57"/>
      <c r="L156" s="57"/>
      <c r="M156" s="57"/>
      <c r="N156" s="64"/>
      <c r="O156" s="56"/>
    </row>
    <row r="157" ht="14" spans="1:15">
      <c r="A157" s="57"/>
      <c r="B157" s="57"/>
      <c r="C157" s="61"/>
      <c r="D157" s="62"/>
      <c r="E157" s="57"/>
      <c r="F157" s="57"/>
      <c r="G157" s="57"/>
      <c r="H157" s="65"/>
      <c r="I157" s="59"/>
      <c r="J157" s="60"/>
      <c r="K157" s="57"/>
      <c r="L157" s="57"/>
      <c r="M157" s="57"/>
      <c r="N157" s="64"/>
      <c r="O157" s="56"/>
    </row>
    <row r="158" ht="14" spans="1:15">
      <c r="A158" s="57"/>
      <c r="B158" s="57"/>
      <c r="C158" s="61"/>
      <c r="D158" s="62"/>
      <c r="E158" s="57"/>
      <c r="F158" s="57"/>
      <c r="G158" s="57"/>
      <c r="H158" s="65"/>
      <c r="I158" s="59"/>
      <c r="J158" s="60"/>
      <c r="K158" s="57"/>
      <c r="L158" s="57"/>
      <c r="M158" s="57"/>
      <c r="N158" s="64"/>
      <c r="O158" s="56"/>
    </row>
    <row r="159" ht="14" spans="1:15">
      <c r="A159" s="57"/>
      <c r="B159" s="57"/>
      <c r="C159" s="61"/>
      <c r="D159" s="62"/>
      <c r="E159" s="57"/>
      <c r="F159" s="57"/>
      <c r="G159" s="57"/>
      <c r="H159" s="65"/>
      <c r="I159" s="59"/>
      <c r="J159" s="60"/>
      <c r="K159" s="57"/>
      <c r="L159" s="57"/>
      <c r="M159" s="57"/>
      <c r="N159" s="64"/>
      <c r="O159" s="56"/>
    </row>
    <row r="160" ht="14" spans="1:15">
      <c r="A160" s="57"/>
      <c r="B160" s="57"/>
      <c r="C160" s="61"/>
      <c r="D160" s="62"/>
      <c r="E160" s="57"/>
      <c r="F160" s="57"/>
      <c r="G160" s="57"/>
      <c r="H160" s="65"/>
      <c r="I160" s="59"/>
      <c r="J160" s="60"/>
      <c r="K160" s="57"/>
      <c r="L160" s="57"/>
      <c r="M160" s="57"/>
      <c r="N160" s="64"/>
      <c r="O160" s="56"/>
    </row>
    <row r="161" ht="14" spans="1:15">
      <c r="A161" s="57"/>
      <c r="B161" s="57"/>
      <c r="C161" s="61"/>
      <c r="D161" s="62"/>
      <c r="E161" s="57"/>
      <c r="F161" s="57"/>
      <c r="G161" s="57"/>
      <c r="H161" s="65"/>
      <c r="I161" s="59"/>
      <c r="J161" s="60"/>
      <c r="K161" s="57"/>
      <c r="L161" s="57"/>
      <c r="M161" s="57"/>
      <c r="N161" s="64"/>
      <c r="O161" s="56"/>
    </row>
    <row r="162" ht="14" spans="1:15">
      <c r="A162" s="57"/>
      <c r="B162" s="57"/>
      <c r="C162" s="61"/>
      <c r="D162" s="62"/>
      <c r="E162" s="57"/>
      <c r="F162" s="57"/>
      <c r="G162" s="57"/>
      <c r="H162" s="65"/>
      <c r="I162" s="59"/>
      <c r="J162" s="60"/>
      <c r="K162" s="57"/>
      <c r="L162" s="57"/>
      <c r="M162" s="57"/>
      <c r="N162" s="64"/>
      <c r="O162" s="56"/>
    </row>
    <row r="163" ht="14" spans="1:15">
      <c r="A163" s="57"/>
      <c r="B163" s="57"/>
      <c r="C163" s="61"/>
      <c r="D163" s="62"/>
      <c r="E163" s="57"/>
      <c r="F163" s="57"/>
      <c r="G163" s="57"/>
      <c r="H163" s="65"/>
      <c r="I163" s="59"/>
      <c r="J163" s="60"/>
      <c r="K163" s="57"/>
      <c r="L163" s="57"/>
      <c r="M163" s="57"/>
      <c r="N163" s="64"/>
      <c r="O163" s="56"/>
    </row>
    <row r="164" ht="14" spans="1:15">
      <c r="A164" s="57"/>
      <c r="B164" s="57"/>
      <c r="C164" s="61"/>
      <c r="D164" s="62"/>
      <c r="E164" s="57"/>
      <c r="F164" s="57"/>
      <c r="G164" s="57"/>
      <c r="H164" s="65"/>
      <c r="I164" s="59"/>
      <c r="J164" s="60"/>
      <c r="K164" s="57"/>
      <c r="L164" s="57"/>
      <c r="M164" s="57"/>
      <c r="N164" s="64"/>
      <c r="O164" s="56"/>
    </row>
    <row r="165" ht="14" spans="1:15">
      <c r="A165" s="57"/>
      <c r="B165" s="57"/>
      <c r="C165" s="61"/>
      <c r="D165" s="62"/>
      <c r="E165" s="57"/>
      <c r="F165" s="57"/>
      <c r="G165" s="57"/>
      <c r="H165" s="65"/>
      <c r="I165" s="59"/>
      <c r="J165" s="60"/>
      <c r="K165" s="57"/>
      <c r="L165" s="57"/>
      <c r="M165" s="57"/>
      <c r="N165" s="64"/>
      <c r="O165" s="56"/>
    </row>
    <row r="166" ht="14" spans="1:15">
      <c r="A166" s="57"/>
      <c r="B166" s="57"/>
      <c r="C166" s="61"/>
      <c r="D166" s="62"/>
      <c r="E166" s="57"/>
      <c r="F166" s="57"/>
      <c r="G166" s="57"/>
      <c r="H166" s="65"/>
      <c r="I166" s="59"/>
      <c r="J166" s="60"/>
      <c r="K166" s="57"/>
      <c r="L166" s="57"/>
      <c r="M166" s="57"/>
      <c r="N166" s="64"/>
      <c r="O166" s="56"/>
    </row>
    <row r="167" ht="14" spans="1:15">
      <c r="A167" s="57"/>
      <c r="B167" s="57"/>
      <c r="C167" s="61"/>
      <c r="D167" s="62"/>
      <c r="E167" s="57"/>
      <c r="F167" s="57"/>
      <c r="G167" s="57"/>
      <c r="H167" s="65"/>
      <c r="I167" s="59"/>
      <c r="J167" s="60"/>
      <c r="K167" s="57"/>
      <c r="L167" s="57"/>
      <c r="M167" s="57"/>
      <c r="N167" s="64"/>
      <c r="O167" s="56"/>
    </row>
    <row r="168" ht="14" spans="1:15">
      <c r="A168" s="57"/>
      <c r="B168" s="57"/>
      <c r="C168" s="61"/>
      <c r="D168" s="62"/>
      <c r="E168" s="57"/>
      <c r="F168" s="57"/>
      <c r="G168" s="57"/>
      <c r="H168" s="65"/>
      <c r="I168" s="59"/>
      <c r="J168" s="60"/>
      <c r="K168" s="57"/>
      <c r="L168" s="57"/>
      <c r="M168" s="57"/>
      <c r="N168" s="64"/>
      <c r="O168" s="56"/>
    </row>
    <row r="169" ht="14" spans="1:15">
      <c r="A169" s="57"/>
      <c r="B169" s="57"/>
      <c r="C169" s="61"/>
      <c r="D169" s="62"/>
      <c r="E169" s="57"/>
      <c r="F169" s="57"/>
      <c r="G169" s="57"/>
      <c r="H169" s="65"/>
      <c r="I169" s="59"/>
      <c r="J169" s="60"/>
      <c r="K169" s="57"/>
      <c r="L169" s="57"/>
      <c r="M169" s="57"/>
      <c r="N169" s="64"/>
      <c r="O169" s="56"/>
    </row>
    <row r="170" ht="14" spans="1:15">
      <c r="A170" s="57"/>
      <c r="B170" s="57"/>
      <c r="C170" s="61"/>
      <c r="D170" s="62"/>
      <c r="E170" s="57"/>
      <c r="F170" s="57"/>
      <c r="G170" s="57"/>
      <c r="H170" s="65"/>
      <c r="I170" s="59"/>
      <c r="J170" s="60"/>
      <c r="K170" s="57"/>
      <c r="L170" s="57"/>
      <c r="M170" s="57"/>
      <c r="N170" s="64"/>
      <c r="O170" s="56"/>
    </row>
    <row r="171" ht="14" spans="1:15">
      <c r="A171" s="57"/>
      <c r="B171" s="57"/>
      <c r="C171" s="61"/>
      <c r="D171" s="62"/>
      <c r="E171" s="57"/>
      <c r="F171" s="57"/>
      <c r="G171" s="57"/>
      <c r="H171" s="65"/>
      <c r="I171" s="59"/>
      <c r="J171" s="60"/>
      <c r="K171" s="57"/>
      <c r="L171" s="57"/>
      <c r="M171" s="57"/>
      <c r="N171" s="64"/>
      <c r="O171" s="56"/>
    </row>
    <row r="172" ht="14" spans="1:15">
      <c r="A172" s="57"/>
      <c r="B172" s="57"/>
      <c r="C172" s="61"/>
      <c r="D172" s="62"/>
      <c r="E172" s="57"/>
      <c r="F172" s="57"/>
      <c r="G172" s="57"/>
      <c r="H172" s="65"/>
      <c r="I172" s="59"/>
      <c r="J172" s="60"/>
      <c r="K172" s="57"/>
      <c r="L172" s="57"/>
      <c r="M172" s="57"/>
      <c r="N172" s="64"/>
      <c r="O172" s="56"/>
    </row>
    <row r="173" ht="14" spans="1:15">
      <c r="A173" s="57"/>
      <c r="B173" s="57"/>
      <c r="C173" s="61"/>
      <c r="D173" s="62"/>
      <c r="E173" s="57"/>
      <c r="F173" s="57"/>
      <c r="G173" s="57"/>
      <c r="H173" s="65"/>
      <c r="I173" s="59"/>
      <c r="J173" s="60"/>
      <c r="K173" s="57"/>
      <c r="L173" s="57"/>
      <c r="M173" s="57"/>
      <c r="N173" s="64"/>
      <c r="O173" s="56"/>
    </row>
    <row r="174" ht="14" spans="1:15">
      <c r="A174" s="57"/>
      <c r="B174" s="57"/>
      <c r="C174" s="61"/>
      <c r="D174" s="62"/>
      <c r="E174" s="57"/>
      <c r="F174" s="57"/>
      <c r="G174" s="57"/>
      <c r="H174" s="65"/>
      <c r="I174" s="59"/>
      <c r="J174" s="60"/>
      <c r="K174" s="57"/>
      <c r="L174" s="57"/>
      <c r="M174" s="57"/>
      <c r="N174" s="64"/>
      <c r="O174" s="56"/>
    </row>
    <row r="175" ht="14" spans="1:15">
      <c r="A175" s="57"/>
      <c r="B175" s="57"/>
      <c r="C175" s="61"/>
      <c r="D175" s="62"/>
      <c r="E175" s="57"/>
      <c r="F175" s="57"/>
      <c r="G175" s="57"/>
      <c r="H175" s="65"/>
      <c r="I175" s="59"/>
      <c r="J175" s="60"/>
      <c r="K175" s="57"/>
      <c r="L175" s="57"/>
      <c r="M175" s="57"/>
      <c r="N175" s="64"/>
      <c r="O175" s="56"/>
    </row>
    <row r="176" ht="14" spans="1:15">
      <c r="A176" s="57"/>
      <c r="B176" s="57"/>
      <c r="C176" s="61"/>
      <c r="D176" s="62"/>
      <c r="E176" s="57"/>
      <c r="F176" s="57"/>
      <c r="G176" s="57"/>
      <c r="H176" s="65"/>
      <c r="I176" s="59"/>
      <c r="J176" s="60"/>
      <c r="K176" s="57"/>
      <c r="L176" s="57"/>
      <c r="M176" s="57"/>
      <c r="N176" s="64"/>
      <c r="O176" s="56"/>
    </row>
    <row r="177" ht="14" spans="1:15">
      <c r="A177" s="57"/>
      <c r="B177" s="57"/>
      <c r="C177" s="61"/>
      <c r="D177" s="62"/>
      <c r="E177" s="57"/>
      <c r="F177" s="57"/>
      <c r="G177" s="57"/>
      <c r="H177" s="65"/>
      <c r="I177" s="59"/>
      <c r="J177" s="60"/>
      <c r="K177" s="57"/>
      <c r="L177" s="57"/>
      <c r="M177" s="57"/>
      <c r="N177" s="64"/>
      <c r="O177" s="56"/>
    </row>
    <row r="178" ht="14" spans="1:15">
      <c r="A178" s="57"/>
      <c r="B178" s="57"/>
      <c r="C178" s="61"/>
      <c r="D178" s="62"/>
      <c r="E178" s="57"/>
      <c r="F178" s="57"/>
      <c r="G178" s="57"/>
      <c r="H178" s="65"/>
      <c r="I178" s="59"/>
      <c r="J178" s="60"/>
      <c r="K178" s="57"/>
      <c r="L178" s="57"/>
      <c r="M178" s="57"/>
      <c r="N178" s="64"/>
      <c r="O178" s="56"/>
    </row>
    <row r="179" ht="14" spans="1:15">
      <c r="A179" s="57"/>
      <c r="B179" s="57"/>
      <c r="C179" s="61"/>
      <c r="D179" s="62"/>
      <c r="E179" s="57"/>
      <c r="F179" s="57"/>
      <c r="G179" s="57"/>
      <c r="H179" s="65"/>
      <c r="I179" s="59"/>
      <c r="J179" s="60"/>
      <c r="K179" s="57"/>
      <c r="L179" s="57"/>
      <c r="M179" s="57"/>
      <c r="N179" s="64"/>
      <c r="O179" s="56"/>
    </row>
    <row r="180" ht="14" spans="1:15">
      <c r="A180" s="57"/>
      <c r="B180" s="57"/>
      <c r="C180" s="61"/>
      <c r="D180" s="62"/>
      <c r="E180" s="57"/>
      <c r="F180" s="57"/>
      <c r="G180" s="57"/>
      <c r="H180" s="65"/>
      <c r="I180" s="59"/>
      <c r="J180" s="60"/>
      <c r="K180" s="57"/>
      <c r="L180" s="57"/>
      <c r="M180" s="57"/>
      <c r="N180" s="64"/>
      <c r="O180" s="56"/>
    </row>
    <row r="181" ht="14" spans="1:15">
      <c r="A181" s="57"/>
      <c r="B181" s="57"/>
      <c r="C181" s="61"/>
      <c r="D181" s="62"/>
      <c r="E181" s="57"/>
      <c r="F181" s="57"/>
      <c r="G181" s="57"/>
      <c r="H181" s="65"/>
      <c r="I181" s="59"/>
      <c r="J181" s="60"/>
      <c r="K181" s="57"/>
      <c r="L181" s="57"/>
      <c r="M181" s="57"/>
      <c r="N181" s="64"/>
      <c r="O181" s="56"/>
    </row>
    <row r="182" ht="14" spans="1:15">
      <c r="A182" s="57"/>
      <c r="B182" s="57"/>
      <c r="C182" s="61"/>
      <c r="D182" s="62"/>
      <c r="E182" s="57"/>
      <c r="F182" s="57"/>
      <c r="G182" s="57"/>
      <c r="H182" s="65"/>
      <c r="I182" s="59"/>
      <c r="J182" s="60"/>
      <c r="K182" s="57"/>
      <c r="L182" s="57"/>
      <c r="M182" s="57"/>
      <c r="N182" s="64"/>
      <c r="O182" s="56"/>
    </row>
    <row r="183" ht="14" spans="1:15">
      <c r="A183" s="57"/>
      <c r="B183" s="57"/>
      <c r="C183" s="61"/>
      <c r="D183" s="62"/>
      <c r="E183" s="57"/>
      <c r="F183" s="57"/>
      <c r="G183" s="57"/>
      <c r="H183" s="65"/>
      <c r="I183" s="59"/>
      <c r="J183" s="60"/>
      <c r="K183" s="57"/>
      <c r="L183" s="57"/>
      <c r="M183" s="57"/>
      <c r="N183" s="64"/>
      <c r="O183" s="56"/>
    </row>
    <row r="184" ht="14" spans="1:15">
      <c r="A184" s="57"/>
      <c r="B184" s="57"/>
      <c r="C184" s="61"/>
      <c r="D184" s="62"/>
      <c r="E184" s="57"/>
      <c r="F184" s="57"/>
      <c r="G184" s="57"/>
      <c r="H184" s="65"/>
      <c r="I184" s="59"/>
      <c r="J184" s="60"/>
      <c r="K184" s="57"/>
      <c r="L184" s="57"/>
      <c r="M184" s="57"/>
      <c r="N184" s="64"/>
      <c r="O184" s="56"/>
    </row>
    <row r="185" ht="14" spans="1:15">
      <c r="A185" s="57"/>
      <c r="B185" s="57"/>
      <c r="C185" s="61"/>
      <c r="D185" s="62"/>
      <c r="E185" s="57"/>
      <c r="F185" s="57"/>
      <c r="G185" s="57"/>
      <c r="H185" s="65"/>
      <c r="I185" s="59"/>
      <c r="J185" s="60"/>
      <c r="K185" s="57"/>
      <c r="L185" s="57"/>
      <c r="M185" s="57"/>
      <c r="N185" s="64"/>
      <c r="O185" s="56"/>
    </row>
    <row r="186" ht="14" spans="1:15">
      <c r="A186" s="57"/>
      <c r="B186" s="57"/>
      <c r="C186" s="61"/>
      <c r="D186" s="62"/>
      <c r="E186" s="57"/>
      <c r="F186" s="57"/>
      <c r="G186" s="57"/>
      <c r="H186" s="65"/>
      <c r="I186" s="59"/>
      <c r="J186" s="60"/>
      <c r="K186" s="57"/>
      <c r="L186" s="57"/>
      <c r="M186" s="57"/>
      <c r="N186" s="64"/>
      <c r="O186" s="56"/>
    </row>
    <row r="187" ht="14" spans="1:15">
      <c r="A187" s="57"/>
      <c r="B187" s="57"/>
      <c r="C187" s="61"/>
      <c r="D187" s="62"/>
      <c r="E187" s="57"/>
      <c r="F187" s="57"/>
      <c r="G187" s="57"/>
      <c r="H187" s="65"/>
      <c r="I187" s="59"/>
      <c r="J187" s="60"/>
      <c r="K187" s="57"/>
      <c r="L187" s="57"/>
      <c r="M187" s="57"/>
      <c r="N187" s="64"/>
      <c r="O187" s="56"/>
    </row>
    <row r="188" ht="14" spans="1:15">
      <c r="A188" s="57"/>
      <c r="B188" s="57"/>
      <c r="C188" s="61"/>
      <c r="D188" s="62"/>
      <c r="E188" s="57"/>
      <c r="F188" s="57"/>
      <c r="G188" s="57"/>
      <c r="H188" s="65"/>
      <c r="I188" s="59"/>
      <c r="J188" s="60"/>
      <c r="K188" s="57"/>
      <c r="L188" s="57"/>
      <c r="M188" s="57"/>
      <c r="N188" s="64"/>
      <c r="O188" s="56"/>
    </row>
    <row r="189" ht="14" spans="1:15">
      <c r="A189" s="57"/>
      <c r="B189" s="57"/>
      <c r="C189" s="61"/>
      <c r="D189" s="62"/>
      <c r="E189" s="57"/>
      <c r="F189" s="57"/>
      <c r="G189" s="57"/>
      <c r="H189" s="65"/>
      <c r="I189" s="59"/>
      <c r="J189" s="60"/>
      <c r="K189" s="57"/>
      <c r="L189" s="57"/>
      <c r="M189" s="57"/>
      <c r="N189" s="64"/>
      <c r="O189" s="56"/>
    </row>
    <row r="190" ht="14" spans="1:15">
      <c r="A190" s="57"/>
      <c r="B190" s="57"/>
      <c r="C190" s="61"/>
      <c r="D190" s="62"/>
      <c r="E190" s="57"/>
      <c r="F190" s="57"/>
      <c r="G190" s="57"/>
      <c r="H190" s="65"/>
      <c r="I190" s="59"/>
      <c r="J190" s="60"/>
      <c r="K190" s="57"/>
      <c r="L190" s="57"/>
      <c r="M190" s="57"/>
      <c r="N190" s="64"/>
      <c r="O190" s="56"/>
    </row>
    <row r="191" ht="14" spans="1:15">
      <c r="A191" s="57"/>
      <c r="B191" s="57"/>
      <c r="C191" s="61"/>
      <c r="D191" s="62"/>
      <c r="E191" s="57"/>
      <c r="F191" s="57"/>
      <c r="G191" s="57"/>
      <c r="H191" s="65"/>
      <c r="I191" s="59"/>
      <c r="J191" s="60"/>
      <c r="K191" s="57"/>
      <c r="L191" s="57"/>
      <c r="M191" s="57"/>
      <c r="N191" s="64"/>
      <c r="O191" s="56"/>
    </row>
    <row r="192" ht="14" spans="1:15">
      <c r="A192" s="57"/>
      <c r="B192" s="57"/>
      <c r="C192" s="61"/>
      <c r="D192" s="62"/>
      <c r="E192" s="57"/>
      <c r="F192" s="57"/>
      <c r="G192" s="57"/>
      <c r="H192" s="65"/>
      <c r="I192" s="59"/>
      <c r="J192" s="60"/>
      <c r="K192" s="57"/>
      <c r="L192" s="57"/>
      <c r="M192" s="57"/>
      <c r="N192" s="64"/>
      <c r="O192" s="56"/>
    </row>
    <row r="193" ht="14" spans="1:15">
      <c r="A193" s="57"/>
      <c r="B193" s="57"/>
      <c r="C193" s="61"/>
      <c r="D193" s="62"/>
      <c r="E193" s="57"/>
      <c r="F193" s="57"/>
      <c r="G193" s="57"/>
      <c r="H193" s="65"/>
      <c r="I193" s="59"/>
      <c r="J193" s="60"/>
      <c r="K193" s="57"/>
      <c r="L193" s="57"/>
      <c r="M193" s="57"/>
      <c r="N193" s="64"/>
      <c r="O193" s="56"/>
    </row>
    <row r="194" ht="14" spans="1:15">
      <c r="A194" s="57"/>
      <c r="B194" s="57"/>
      <c r="C194" s="61"/>
      <c r="D194" s="62"/>
      <c r="E194" s="57"/>
      <c r="F194" s="57"/>
      <c r="G194" s="57"/>
      <c r="H194" s="65"/>
      <c r="I194" s="59"/>
      <c r="J194" s="60"/>
      <c r="K194" s="57"/>
      <c r="L194" s="57"/>
      <c r="M194" s="57"/>
      <c r="N194" s="64"/>
      <c r="O194" s="56"/>
    </row>
    <row r="195" ht="14" spans="1:15">
      <c r="A195" s="57"/>
      <c r="B195" s="57"/>
      <c r="C195" s="61"/>
      <c r="D195" s="62"/>
      <c r="E195" s="57"/>
      <c r="F195" s="57"/>
      <c r="G195" s="57"/>
      <c r="H195" s="65"/>
      <c r="I195" s="59"/>
      <c r="J195" s="60"/>
      <c r="K195" s="57"/>
      <c r="L195" s="57"/>
      <c r="M195" s="57"/>
      <c r="N195" s="64"/>
      <c r="O195" s="56"/>
    </row>
    <row r="196" ht="14" spans="1:15">
      <c r="A196" s="57"/>
      <c r="B196" s="57"/>
      <c r="C196" s="61"/>
      <c r="D196" s="62"/>
      <c r="E196" s="57"/>
      <c r="F196" s="57"/>
      <c r="G196" s="57"/>
      <c r="H196" s="65"/>
      <c r="I196" s="59"/>
      <c r="J196" s="60"/>
      <c r="K196" s="57"/>
      <c r="L196" s="57"/>
      <c r="M196" s="57"/>
      <c r="N196" s="64"/>
      <c r="O196" s="56"/>
    </row>
    <row r="197" ht="14" spans="1:15">
      <c r="A197" s="57"/>
      <c r="B197" s="57"/>
      <c r="C197" s="61"/>
      <c r="D197" s="62"/>
      <c r="E197" s="57"/>
      <c r="F197" s="57"/>
      <c r="G197" s="57"/>
      <c r="H197" s="65"/>
      <c r="I197" s="59"/>
      <c r="J197" s="60"/>
      <c r="K197" s="57"/>
      <c r="L197" s="57"/>
      <c r="M197" s="57"/>
      <c r="N197" s="64"/>
      <c r="O197" s="56"/>
    </row>
    <row r="198" ht="14" spans="1:15">
      <c r="A198" s="57"/>
      <c r="B198" s="57"/>
      <c r="C198" s="61"/>
      <c r="D198" s="62"/>
      <c r="E198" s="57"/>
      <c r="F198" s="57"/>
      <c r="G198" s="57"/>
      <c r="H198" s="65"/>
      <c r="I198" s="59"/>
      <c r="J198" s="60"/>
      <c r="K198" s="57"/>
      <c r="L198" s="57"/>
      <c r="M198" s="57"/>
      <c r="N198" s="64"/>
      <c r="O198" s="56"/>
    </row>
    <row r="199" ht="14" spans="1:15">
      <c r="A199" s="57"/>
      <c r="B199" s="57"/>
      <c r="C199" s="61"/>
      <c r="D199" s="62"/>
      <c r="E199" s="57"/>
      <c r="F199" s="57"/>
      <c r="G199" s="57"/>
      <c r="H199" s="65"/>
      <c r="I199" s="59"/>
      <c r="J199" s="60"/>
      <c r="K199" s="57"/>
      <c r="L199" s="57"/>
      <c r="M199" s="57"/>
      <c r="N199" s="64"/>
      <c r="O199" s="56"/>
    </row>
    <row r="200" ht="14" spans="1:15">
      <c r="A200" s="57"/>
      <c r="B200" s="57"/>
      <c r="C200" s="61"/>
      <c r="D200" s="62"/>
      <c r="E200" s="57"/>
      <c r="F200" s="57"/>
      <c r="G200" s="57"/>
      <c r="H200" s="65"/>
      <c r="I200" s="59"/>
      <c r="J200" s="60"/>
      <c r="K200" s="57"/>
      <c r="L200" s="57"/>
      <c r="M200" s="57"/>
      <c r="N200" s="64"/>
      <c r="O200" s="56"/>
    </row>
    <row r="201" ht="14" spans="1:15">
      <c r="A201" s="57"/>
      <c r="B201" s="57"/>
      <c r="C201" s="61"/>
      <c r="D201" s="62"/>
      <c r="E201" s="57"/>
      <c r="F201" s="57"/>
      <c r="G201" s="57"/>
      <c r="H201" s="65"/>
      <c r="I201" s="59"/>
      <c r="J201" s="60"/>
      <c r="K201" s="57"/>
      <c r="L201" s="57"/>
      <c r="M201" s="57"/>
      <c r="N201" s="64"/>
      <c r="O201" s="56"/>
    </row>
    <row r="202" ht="14" spans="1:15">
      <c r="A202" s="57"/>
      <c r="B202" s="57"/>
      <c r="C202" s="61"/>
      <c r="D202" s="62"/>
      <c r="E202" s="57"/>
      <c r="F202" s="57"/>
      <c r="G202" s="57"/>
      <c r="H202" s="65"/>
      <c r="I202" s="59"/>
      <c r="J202" s="60"/>
      <c r="K202" s="57"/>
      <c r="L202" s="57"/>
      <c r="M202" s="57"/>
      <c r="N202" s="64"/>
      <c r="O202" s="56"/>
    </row>
    <row r="203" ht="14" spans="1:15">
      <c r="A203" s="57"/>
      <c r="B203" s="57"/>
      <c r="C203" s="61"/>
      <c r="D203" s="62"/>
      <c r="E203" s="57"/>
      <c r="F203" s="57"/>
      <c r="G203" s="57"/>
      <c r="H203" s="65"/>
      <c r="I203" s="59"/>
      <c r="J203" s="60"/>
      <c r="K203" s="57"/>
      <c r="L203" s="57"/>
      <c r="M203" s="57"/>
      <c r="N203" s="64"/>
      <c r="O203" s="56"/>
    </row>
    <row r="204" ht="14" spans="1:15">
      <c r="A204" s="57"/>
      <c r="B204" s="57"/>
      <c r="C204" s="61"/>
      <c r="D204" s="62"/>
      <c r="E204" s="57"/>
      <c r="F204" s="57"/>
      <c r="G204" s="57"/>
      <c r="H204" s="65"/>
      <c r="I204" s="59"/>
      <c r="J204" s="60"/>
      <c r="K204" s="57"/>
      <c r="L204" s="57"/>
      <c r="M204" s="57"/>
      <c r="N204" s="64"/>
      <c r="O204" s="56"/>
    </row>
    <row r="205" ht="14" spans="1:15">
      <c r="A205" s="57"/>
      <c r="B205" s="57"/>
      <c r="C205" s="61"/>
      <c r="D205" s="62"/>
      <c r="E205" s="57"/>
      <c r="F205" s="57"/>
      <c r="G205" s="57"/>
      <c r="H205" s="65"/>
      <c r="I205" s="59"/>
      <c r="J205" s="60"/>
      <c r="K205" s="57"/>
      <c r="L205" s="57"/>
      <c r="M205" s="57"/>
      <c r="N205" s="64"/>
      <c r="O205" s="56"/>
    </row>
    <row r="206" ht="14" spans="1:15">
      <c r="A206" s="57"/>
      <c r="B206" s="57"/>
      <c r="C206" s="61"/>
      <c r="D206" s="62"/>
      <c r="E206" s="57"/>
      <c r="F206" s="57"/>
      <c r="G206" s="57"/>
      <c r="H206" s="65"/>
      <c r="I206" s="59"/>
      <c r="J206" s="60"/>
      <c r="K206" s="57"/>
      <c r="L206" s="57"/>
      <c r="M206" s="57"/>
      <c r="N206" s="64"/>
      <c r="O206" s="56"/>
    </row>
    <row r="207" ht="14" spans="1:15">
      <c r="A207" s="57"/>
      <c r="B207" s="57"/>
      <c r="C207" s="61"/>
      <c r="D207" s="62"/>
      <c r="E207" s="57"/>
      <c r="F207" s="57"/>
      <c r="G207" s="57"/>
      <c r="H207" s="65"/>
      <c r="I207" s="59"/>
      <c r="J207" s="60"/>
      <c r="K207" s="57"/>
      <c r="L207" s="57"/>
      <c r="M207" s="57"/>
      <c r="N207" s="64"/>
      <c r="O207" s="56"/>
    </row>
    <row r="208" ht="14" spans="1:15">
      <c r="A208" s="57"/>
      <c r="B208" s="57"/>
      <c r="C208" s="61"/>
      <c r="D208" s="62"/>
      <c r="E208" s="57"/>
      <c r="F208" s="57"/>
      <c r="G208" s="57"/>
      <c r="H208" s="65"/>
      <c r="I208" s="59"/>
      <c r="J208" s="60"/>
      <c r="K208" s="57"/>
      <c r="L208" s="57"/>
      <c r="M208" s="57"/>
      <c r="N208" s="64"/>
      <c r="O208" s="56"/>
    </row>
    <row r="209" ht="14" spans="1:15">
      <c r="A209" s="57"/>
      <c r="B209" s="57"/>
      <c r="C209" s="61"/>
      <c r="D209" s="62"/>
      <c r="E209" s="57"/>
      <c r="F209" s="57"/>
      <c r="G209" s="57"/>
      <c r="H209" s="65"/>
      <c r="I209" s="59"/>
      <c r="J209" s="60"/>
      <c r="K209" s="57"/>
      <c r="L209" s="57"/>
      <c r="M209" s="57"/>
      <c r="N209" s="64"/>
      <c r="O209" s="56"/>
    </row>
    <row r="210" ht="14" spans="1:15">
      <c r="A210" s="57"/>
      <c r="B210" s="57"/>
      <c r="C210" s="61"/>
      <c r="D210" s="62"/>
      <c r="E210" s="57"/>
      <c r="F210" s="57"/>
      <c r="G210" s="57"/>
      <c r="H210" s="65"/>
      <c r="I210" s="59"/>
      <c r="J210" s="60"/>
      <c r="K210" s="57"/>
      <c r="L210" s="57"/>
      <c r="M210" s="57"/>
      <c r="N210" s="64"/>
      <c r="O210" s="56"/>
    </row>
    <row r="211" ht="14" spans="1:15">
      <c r="A211" s="57"/>
      <c r="B211" s="57"/>
      <c r="C211" s="61"/>
      <c r="D211" s="62"/>
      <c r="E211" s="57"/>
      <c r="F211" s="57"/>
      <c r="G211" s="57"/>
      <c r="H211" s="65"/>
      <c r="I211" s="59"/>
      <c r="J211" s="60"/>
      <c r="K211" s="57"/>
      <c r="L211" s="57"/>
      <c r="M211" s="57"/>
      <c r="N211" s="64"/>
      <c r="O211" s="56"/>
    </row>
    <row r="212" ht="14" spans="1:15">
      <c r="A212" s="57"/>
      <c r="B212" s="57"/>
      <c r="C212" s="61"/>
      <c r="D212" s="62"/>
      <c r="E212" s="57"/>
      <c r="F212" s="57"/>
      <c r="G212" s="57"/>
      <c r="H212" s="65"/>
      <c r="I212" s="59"/>
      <c r="J212" s="60"/>
      <c r="K212" s="57"/>
      <c r="L212" s="57"/>
      <c r="M212" s="57"/>
      <c r="N212" s="64"/>
      <c r="O212" s="56"/>
    </row>
    <row r="213" ht="14" spans="1:15">
      <c r="A213" s="57"/>
      <c r="B213" s="57"/>
      <c r="C213" s="61"/>
      <c r="D213" s="62"/>
      <c r="E213" s="57"/>
      <c r="F213" s="57"/>
      <c r="G213" s="57"/>
      <c r="H213" s="65"/>
      <c r="I213" s="59"/>
      <c r="J213" s="60"/>
      <c r="K213" s="57"/>
      <c r="L213" s="57"/>
      <c r="M213" s="57"/>
      <c r="N213" s="64"/>
      <c r="O213" s="56"/>
    </row>
    <row r="214" ht="14" spans="1:15">
      <c r="A214" s="57"/>
      <c r="B214" s="57"/>
      <c r="C214" s="61"/>
      <c r="D214" s="62"/>
      <c r="E214" s="57"/>
      <c r="F214" s="57"/>
      <c r="G214" s="57"/>
      <c r="H214" s="65"/>
      <c r="I214" s="59"/>
      <c r="J214" s="60"/>
      <c r="K214" s="57"/>
      <c r="L214" s="57"/>
      <c r="M214" s="57"/>
      <c r="N214" s="64"/>
      <c r="O214" s="56"/>
    </row>
    <row r="215" ht="14" spans="1:15">
      <c r="A215" s="57"/>
      <c r="B215" s="57"/>
      <c r="C215" s="61"/>
      <c r="D215" s="62"/>
      <c r="E215" s="57"/>
      <c r="F215" s="57"/>
      <c r="G215" s="57"/>
      <c r="H215" s="65"/>
      <c r="I215" s="59"/>
      <c r="J215" s="60"/>
      <c r="K215" s="57"/>
      <c r="L215" s="57"/>
      <c r="M215" s="57"/>
      <c r="N215" s="64"/>
      <c r="O215" s="56"/>
    </row>
    <row r="216" ht="14" spans="1:15">
      <c r="A216" s="57"/>
      <c r="B216" s="57"/>
      <c r="C216" s="61"/>
      <c r="D216" s="62"/>
      <c r="E216" s="57"/>
      <c r="F216" s="57"/>
      <c r="G216" s="57"/>
      <c r="H216" s="65"/>
      <c r="I216" s="59"/>
      <c r="J216" s="60"/>
      <c r="K216" s="57"/>
      <c r="L216" s="57"/>
      <c r="M216" s="57"/>
      <c r="N216" s="64"/>
      <c r="O216" s="56"/>
    </row>
    <row r="217" ht="14" spans="1:15">
      <c r="A217" s="57"/>
      <c r="B217" s="57"/>
      <c r="C217" s="61"/>
      <c r="D217" s="62"/>
      <c r="E217" s="57"/>
      <c r="F217" s="57"/>
      <c r="G217" s="57"/>
      <c r="H217" s="65"/>
      <c r="I217" s="59"/>
      <c r="J217" s="60"/>
      <c r="K217" s="57"/>
      <c r="L217" s="57"/>
      <c r="M217" s="57"/>
      <c r="N217" s="64"/>
      <c r="O217" s="56"/>
    </row>
    <row r="218" ht="14" spans="1:15">
      <c r="A218" s="57"/>
      <c r="B218" s="57"/>
      <c r="C218" s="61"/>
      <c r="D218" s="62"/>
      <c r="E218" s="57"/>
      <c r="F218" s="57"/>
      <c r="G218" s="57"/>
      <c r="H218" s="65"/>
      <c r="I218" s="59"/>
      <c r="J218" s="60"/>
      <c r="K218" s="57"/>
      <c r="L218" s="57"/>
      <c r="M218" s="57"/>
      <c r="N218" s="64"/>
      <c r="O218" s="56"/>
    </row>
    <row r="219" ht="14" spans="1:15">
      <c r="A219" s="57"/>
      <c r="B219" s="57"/>
      <c r="C219" s="61"/>
      <c r="D219" s="62"/>
      <c r="E219" s="57"/>
      <c r="F219" s="57"/>
      <c r="G219" s="57"/>
      <c r="H219" s="65"/>
      <c r="I219" s="59"/>
      <c r="J219" s="60"/>
      <c r="K219" s="57"/>
      <c r="L219" s="57"/>
      <c r="M219" s="57"/>
      <c r="N219" s="64"/>
      <c r="O219" s="56"/>
    </row>
    <row r="220" ht="14" spans="1:15">
      <c r="A220" s="57"/>
      <c r="B220" s="57"/>
      <c r="C220" s="61"/>
      <c r="D220" s="62"/>
      <c r="E220" s="57"/>
      <c r="F220" s="57"/>
      <c r="G220" s="57"/>
      <c r="H220" s="65"/>
      <c r="I220" s="59"/>
      <c r="J220" s="60"/>
      <c r="K220" s="57"/>
      <c r="L220" s="57"/>
      <c r="M220" s="57"/>
      <c r="N220" s="64"/>
      <c r="O220" s="56"/>
    </row>
    <row r="221" ht="14" spans="1:15">
      <c r="A221" s="57"/>
      <c r="B221" s="57"/>
      <c r="C221" s="61"/>
      <c r="D221" s="62"/>
      <c r="E221" s="57"/>
      <c r="F221" s="57"/>
      <c r="G221" s="57"/>
      <c r="H221" s="65"/>
      <c r="I221" s="59"/>
      <c r="J221" s="60"/>
      <c r="K221" s="57"/>
      <c r="L221" s="57"/>
      <c r="M221" s="57"/>
      <c r="N221" s="64"/>
      <c r="O221" s="56"/>
    </row>
    <row r="222" ht="14" spans="1:15">
      <c r="A222" s="57"/>
      <c r="B222" s="57"/>
      <c r="C222" s="61"/>
      <c r="D222" s="62"/>
      <c r="E222" s="57"/>
      <c r="F222" s="57"/>
      <c r="G222" s="57"/>
      <c r="H222" s="65"/>
      <c r="I222" s="59"/>
      <c r="J222" s="60"/>
      <c r="K222" s="57"/>
      <c r="L222" s="57"/>
      <c r="M222" s="57"/>
      <c r="N222" s="64"/>
      <c r="O222" s="56"/>
    </row>
    <row r="223" ht="14" spans="1:15">
      <c r="A223" s="57"/>
      <c r="B223" s="57"/>
      <c r="C223" s="61"/>
      <c r="D223" s="62"/>
      <c r="E223" s="57"/>
      <c r="F223" s="57"/>
      <c r="G223" s="57"/>
      <c r="H223" s="65"/>
      <c r="I223" s="59"/>
      <c r="J223" s="60"/>
      <c r="K223" s="57"/>
      <c r="L223" s="57"/>
      <c r="M223" s="57"/>
      <c r="N223" s="64"/>
      <c r="O223" s="56"/>
    </row>
    <row r="224" ht="14" spans="1:15">
      <c r="A224" s="57"/>
      <c r="B224" s="57"/>
      <c r="C224" s="61"/>
      <c r="D224" s="62"/>
      <c r="E224" s="57"/>
      <c r="F224" s="57"/>
      <c r="G224" s="57"/>
      <c r="H224" s="65"/>
      <c r="I224" s="59"/>
      <c r="J224" s="60"/>
      <c r="K224" s="57"/>
      <c r="L224" s="57"/>
      <c r="M224" s="57"/>
      <c r="N224" s="64"/>
      <c r="O224" s="56"/>
    </row>
    <row r="225" ht="14" spans="1:15">
      <c r="A225" s="57"/>
      <c r="B225" s="57"/>
      <c r="C225" s="61"/>
      <c r="D225" s="62"/>
      <c r="E225" s="57"/>
      <c r="F225" s="57"/>
      <c r="G225" s="57"/>
      <c r="H225" s="65"/>
      <c r="I225" s="59"/>
      <c r="J225" s="60"/>
      <c r="K225" s="57"/>
      <c r="L225" s="57"/>
      <c r="M225" s="57"/>
      <c r="N225" s="64"/>
      <c r="O225" s="56"/>
    </row>
    <row r="226" ht="14" spans="1:15">
      <c r="A226" s="57"/>
      <c r="B226" s="57"/>
      <c r="C226" s="61"/>
      <c r="D226" s="62"/>
      <c r="E226" s="57"/>
      <c r="F226" s="57"/>
      <c r="G226" s="57"/>
      <c r="H226" s="65"/>
      <c r="I226" s="59"/>
      <c r="J226" s="60"/>
      <c r="K226" s="57"/>
      <c r="L226" s="57"/>
      <c r="M226" s="57"/>
      <c r="N226" s="64"/>
      <c r="O226" s="56"/>
    </row>
    <row r="227" ht="14" spans="1:15">
      <c r="A227" s="57"/>
      <c r="B227" s="57"/>
      <c r="C227" s="61"/>
      <c r="D227" s="62"/>
      <c r="E227" s="57"/>
      <c r="F227" s="57"/>
      <c r="G227" s="57"/>
      <c r="H227" s="65"/>
      <c r="I227" s="59"/>
      <c r="J227" s="60"/>
      <c r="K227" s="57"/>
      <c r="L227" s="57"/>
      <c r="M227" s="57"/>
      <c r="N227" s="64"/>
      <c r="O227" s="56"/>
    </row>
    <row r="228" ht="14" spans="1:15">
      <c r="A228" s="57"/>
      <c r="B228" s="57"/>
      <c r="C228" s="61"/>
      <c r="D228" s="62"/>
      <c r="E228" s="57"/>
      <c r="F228" s="57"/>
      <c r="G228" s="57"/>
      <c r="H228" s="65"/>
      <c r="I228" s="59"/>
      <c r="J228" s="60"/>
      <c r="K228" s="57"/>
      <c r="L228" s="57"/>
      <c r="M228" s="57"/>
      <c r="N228" s="64"/>
      <c r="O228" s="56"/>
    </row>
    <row r="229" ht="14" spans="1:15">
      <c r="A229" s="57"/>
      <c r="B229" s="57"/>
      <c r="C229" s="61"/>
      <c r="D229" s="62"/>
      <c r="E229" s="57"/>
      <c r="F229" s="57"/>
      <c r="G229" s="57"/>
      <c r="H229" s="65"/>
      <c r="I229" s="59"/>
      <c r="J229" s="60"/>
      <c r="K229" s="57"/>
      <c r="L229" s="57"/>
      <c r="M229" s="57"/>
      <c r="N229" s="64"/>
      <c r="O229" s="56"/>
    </row>
    <row r="230" ht="14" spans="1:15">
      <c r="A230" s="57"/>
      <c r="B230" s="57"/>
      <c r="C230" s="61"/>
      <c r="D230" s="62"/>
      <c r="E230" s="57"/>
      <c r="F230" s="57"/>
      <c r="G230" s="57"/>
      <c r="H230" s="65"/>
      <c r="I230" s="59"/>
      <c r="J230" s="60"/>
      <c r="K230" s="57"/>
      <c r="L230" s="57"/>
      <c r="M230" s="57"/>
      <c r="N230" s="64"/>
      <c r="O230" s="56"/>
    </row>
    <row r="231" ht="14" spans="1:15">
      <c r="A231" s="57"/>
      <c r="B231" s="57"/>
      <c r="C231" s="61"/>
      <c r="D231" s="62"/>
      <c r="E231" s="57"/>
      <c r="F231" s="57"/>
      <c r="G231" s="57"/>
      <c r="H231" s="65"/>
      <c r="I231" s="59"/>
      <c r="J231" s="60"/>
      <c r="K231" s="57"/>
      <c r="L231" s="57"/>
      <c r="M231" s="57"/>
      <c r="N231" s="64"/>
      <c r="O231" s="56"/>
    </row>
    <row r="232" ht="14" spans="1:15">
      <c r="A232" s="57"/>
      <c r="B232" s="57"/>
      <c r="C232" s="61"/>
      <c r="D232" s="62"/>
      <c r="E232" s="57"/>
      <c r="F232" s="57"/>
      <c r="G232" s="57"/>
      <c r="H232" s="65"/>
      <c r="I232" s="59"/>
      <c r="J232" s="60"/>
      <c r="K232" s="57"/>
      <c r="L232" s="57"/>
      <c r="M232" s="57"/>
      <c r="N232" s="64"/>
      <c r="O232" s="56"/>
    </row>
    <row r="233" ht="14" spans="1:15">
      <c r="A233" s="57"/>
      <c r="B233" s="57"/>
      <c r="C233" s="61"/>
      <c r="D233" s="62"/>
      <c r="E233" s="57"/>
      <c r="F233" s="57"/>
      <c r="G233" s="57"/>
      <c r="H233" s="65"/>
      <c r="I233" s="59"/>
      <c r="J233" s="60"/>
      <c r="K233" s="57"/>
      <c r="L233" s="57"/>
      <c r="M233" s="57"/>
      <c r="N233" s="64"/>
      <c r="O233" s="56"/>
    </row>
    <row r="234" ht="14" spans="1:15">
      <c r="A234" s="57"/>
      <c r="B234" s="57"/>
      <c r="C234" s="61"/>
      <c r="D234" s="62"/>
      <c r="E234" s="57"/>
      <c r="F234" s="57"/>
      <c r="G234" s="57"/>
      <c r="H234" s="65"/>
      <c r="I234" s="59"/>
      <c r="J234" s="60"/>
      <c r="K234" s="57"/>
      <c r="L234" s="57"/>
      <c r="M234" s="57"/>
      <c r="N234" s="64"/>
      <c r="O234" s="56"/>
    </row>
    <row r="235" ht="14" spans="1:15">
      <c r="A235" s="57"/>
      <c r="B235" s="57"/>
      <c r="C235" s="61"/>
      <c r="D235" s="62"/>
      <c r="E235" s="57"/>
      <c r="F235" s="57"/>
      <c r="G235" s="57"/>
      <c r="H235" s="65"/>
      <c r="I235" s="59"/>
      <c r="J235" s="60"/>
      <c r="K235" s="57"/>
      <c r="L235" s="57"/>
      <c r="M235" s="57"/>
      <c r="N235" s="64"/>
      <c r="O235" s="56"/>
    </row>
    <row r="236" ht="14" spans="1:15">
      <c r="A236" s="57"/>
      <c r="B236" s="57"/>
      <c r="C236" s="61"/>
      <c r="D236" s="62"/>
      <c r="E236" s="57"/>
      <c r="F236" s="57"/>
      <c r="G236" s="57"/>
      <c r="H236" s="65"/>
      <c r="I236" s="59"/>
      <c r="J236" s="60"/>
      <c r="K236" s="57"/>
      <c r="L236" s="57"/>
      <c r="M236" s="57"/>
      <c r="N236" s="64"/>
      <c r="O236" s="56"/>
    </row>
    <row r="237" ht="14" spans="1:15">
      <c r="A237" s="57"/>
      <c r="B237" s="57"/>
      <c r="C237" s="61"/>
      <c r="D237" s="62"/>
      <c r="E237" s="57"/>
      <c r="F237" s="57"/>
      <c r="G237" s="57"/>
      <c r="H237" s="65"/>
      <c r="I237" s="59"/>
      <c r="J237" s="60"/>
      <c r="K237" s="57"/>
      <c r="L237" s="57"/>
      <c r="M237" s="57"/>
      <c r="N237" s="64"/>
      <c r="O237" s="56"/>
    </row>
    <row r="238" ht="14" spans="1:15">
      <c r="A238" s="57"/>
      <c r="B238" s="57"/>
      <c r="C238" s="61"/>
      <c r="D238" s="62"/>
      <c r="E238" s="57"/>
      <c r="F238" s="57"/>
      <c r="G238" s="57"/>
      <c r="H238" s="65"/>
      <c r="I238" s="59"/>
      <c r="J238" s="60"/>
      <c r="K238" s="57"/>
      <c r="L238" s="57"/>
      <c r="M238" s="57"/>
      <c r="N238" s="64"/>
      <c r="O238" s="56"/>
    </row>
    <row r="239" ht="14" spans="1:15">
      <c r="A239" s="57"/>
      <c r="B239" s="57"/>
      <c r="C239" s="61"/>
      <c r="D239" s="62"/>
      <c r="E239" s="57"/>
      <c r="F239" s="57"/>
      <c r="G239" s="57"/>
      <c r="H239" s="65"/>
      <c r="I239" s="59"/>
      <c r="J239" s="60"/>
      <c r="K239" s="57"/>
      <c r="L239" s="57"/>
      <c r="M239" s="57"/>
      <c r="N239" s="64"/>
      <c r="O239" s="56"/>
    </row>
    <row r="240" ht="14" spans="1:15">
      <c r="A240" s="57"/>
      <c r="B240" s="57"/>
      <c r="C240" s="61"/>
      <c r="D240" s="62"/>
      <c r="E240" s="57"/>
      <c r="F240" s="57"/>
      <c r="G240" s="57"/>
      <c r="H240" s="65"/>
      <c r="I240" s="59"/>
      <c r="J240" s="60"/>
      <c r="K240" s="57"/>
      <c r="L240" s="57"/>
      <c r="M240" s="57"/>
      <c r="N240" s="64"/>
      <c r="O240" s="56"/>
    </row>
    <row r="241" ht="14" spans="1:15">
      <c r="A241" s="57"/>
      <c r="B241" s="57"/>
      <c r="C241" s="61"/>
      <c r="D241" s="62"/>
      <c r="E241" s="57"/>
      <c r="F241" s="57"/>
      <c r="G241" s="57"/>
      <c r="H241" s="65"/>
      <c r="I241" s="59"/>
      <c r="J241" s="60"/>
      <c r="K241" s="57"/>
      <c r="L241" s="57"/>
      <c r="M241" s="57"/>
      <c r="N241" s="64"/>
      <c r="O241" s="56"/>
    </row>
    <row r="242" ht="14" spans="1:15">
      <c r="A242" s="57"/>
      <c r="B242" s="57"/>
      <c r="C242" s="61"/>
      <c r="D242" s="62"/>
      <c r="E242" s="57"/>
      <c r="F242" s="57"/>
      <c r="G242" s="57"/>
      <c r="H242" s="65"/>
      <c r="I242" s="59"/>
      <c r="J242" s="60"/>
      <c r="K242" s="57"/>
      <c r="L242" s="57"/>
      <c r="M242" s="57"/>
      <c r="N242" s="64"/>
      <c r="O242" s="56"/>
    </row>
    <row r="243" ht="14" spans="1:15">
      <c r="A243" s="57"/>
      <c r="B243" s="57"/>
      <c r="C243" s="61"/>
      <c r="D243" s="62"/>
      <c r="E243" s="57"/>
      <c r="F243" s="57"/>
      <c r="G243" s="57"/>
      <c r="H243" s="65"/>
      <c r="I243" s="59"/>
      <c r="J243" s="60"/>
      <c r="K243" s="57"/>
      <c r="L243" s="57"/>
      <c r="M243" s="57"/>
      <c r="N243" s="64"/>
      <c r="O243" s="56"/>
    </row>
    <row r="244" ht="14" spans="1:15">
      <c r="A244" s="57"/>
      <c r="B244" s="57"/>
      <c r="C244" s="61"/>
      <c r="D244" s="62"/>
      <c r="E244" s="57"/>
      <c r="F244" s="57"/>
      <c r="G244" s="57"/>
      <c r="H244" s="65"/>
      <c r="I244" s="59"/>
      <c r="J244" s="60"/>
      <c r="K244" s="57"/>
      <c r="L244" s="57"/>
      <c r="M244" s="57"/>
      <c r="N244" s="64"/>
      <c r="O244" s="56"/>
    </row>
    <row r="245" ht="14" spans="1:15">
      <c r="A245" s="57"/>
      <c r="B245" s="57"/>
      <c r="C245" s="61"/>
      <c r="D245" s="62"/>
      <c r="E245" s="57"/>
      <c r="F245" s="57"/>
      <c r="G245" s="57"/>
      <c r="H245" s="65"/>
      <c r="I245" s="59"/>
      <c r="J245" s="60"/>
      <c r="K245" s="57"/>
      <c r="L245" s="57"/>
      <c r="M245" s="57"/>
      <c r="N245" s="64"/>
      <c r="O245" s="56"/>
    </row>
    <row r="246" ht="14" spans="1:15">
      <c r="A246" s="57"/>
      <c r="B246" s="57"/>
      <c r="C246" s="61"/>
      <c r="D246" s="62"/>
      <c r="E246" s="57"/>
      <c r="F246" s="57"/>
      <c r="G246" s="57"/>
      <c r="H246" s="65"/>
      <c r="I246" s="59"/>
      <c r="J246" s="60"/>
      <c r="K246" s="57"/>
      <c r="L246" s="57"/>
      <c r="M246" s="57"/>
      <c r="N246" s="64"/>
      <c r="O246" s="56"/>
    </row>
    <row r="247" ht="14" spans="1:15">
      <c r="A247" s="57"/>
      <c r="B247" s="57"/>
      <c r="C247" s="61"/>
      <c r="D247" s="62"/>
      <c r="E247" s="57"/>
      <c r="F247" s="57"/>
      <c r="G247" s="57"/>
      <c r="H247" s="65"/>
      <c r="I247" s="59"/>
      <c r="J247" s="60"/>
      <c r="K247" s="57"/>
      <c r="L247" s="57"/>
      <c r="M247" s="57"/>
      <c r="N247" s="64"/>
      <c r="O247" s="56"/>
    </row>
    <row r="248" ht="14" spans="1:15">
      <c r="A248" s="57"/>
      <c r="B248" s="57"/>
      <c r="C248" s="61"/>
      <c r="D248" s="62"/>
      <c r="E248" s="57"/>
      <c r="F248" s="57"/>
      <c r="G248" s="57"/>
      <c r="H248" s="65"/>
      <c r="I248" s="59"/>
      <c r="J248" s="60"/>
      <c r="K248" s="57"/>
      <c r="L248" s="57"/>
      <c r="M248" s="57"/>
      <c r="N248" s="64"/>
      <c r="O248" s="56"/>
    </row>
    <row r="249" ht="14" spans="1:15">
      <c r="A249" s="57"/>
      <c r="B249" s="57"/>
      <c r="C249" s="61"/>
      <c r="D249" s="62"/>
      <c r="E249" s="57"/>
      <c r="F249" s="57"/>
      <c r="G249" s="57"/>
      <c r="H249" s="65"/>
      <c r="I249" s="59"/>
      <c r="J249" s="60"/>
      <c r="K249" s="57"/>
      <c r="L249" s="57"/>
      <c r="M249" s="57"/>
      <c r="N249" s="64"/>
      <c r="O249" s="56"/>
    </row>
    <row r="250" ht="14" spans="1:15">
      <c r="A250" s="57"/>
      <c r="B250" s="57"/>
      <c r="C250" s="61"/>
      <c r="D250" s="62"/>
      <c r="E250" s="57"/>
      <c r="F250" s="57"/>
      <c r="G250" s="57"/>
      <c r="H250" s="65"/>
      <c r="I250" s="59"/>
      <c r="J250" s="60"/>
      <c r="K250" s="57"/>
      <c r="L250" s="57"/>
      <c r="M250" s="57"/>
      <c r="N250" s="64"/>
      <c r="O250" s="56"/>
    </row>
    <row r="251" ht="14" spans="1:15">
      <c r="A251" s="57"/>
      <c r="B251" s="57"/>
      <c r="C251" s="61"/>
      <c r="D251" s="62"/>
      <c r="E251" s="57"/>
      <c r="F251" s="57"/>
      <c r="G251" s="57"/>
      <c r="H251" s="65"/>
      <c r="I251" s="59"/>
      <c r="J251" s="60"/>
      <c r="K251" s="57"/>
      <c r="L251" s="57"/>
      <c r="M251" s="57"/>
      <c r="N251" s="64"/>
      <c r="O251" s="56"/>
    </row>
    <row r="252" ht="14" spans="1:15">
      <c r="A252" s="57"/>
      <c r="B252" s="57"/>
      <c r="C252" s="61"/>
      <c r="D252" s="62"/>
      <c r="E252" s="57"/>
      <c r="F252" s="57"/>
      <c r="G252" s="57"/>
      <c r="H252" s="65"/>
      <c r="I252" s="59"/>
      <c r="J252" s="60"/>
      <c r="K252" s="57"/>
      <c r="L252" s="57"/>
      <c r="M252" s="57"/>
      <c r="N252" s="64"/>
      <c r="O252" s="56"/>
    </row>
  </sheetData>
  <hyperlinks>
    <hyperlink ref="K34" r:id="rId3" display="SAF202501033059"/>
    <hyperlink ref="K51" r:id="rId4" display="SAF202404114117"/>
  </hyperlinks>
  <pageMargins left="0.75" right="0.75" top="1" bottom="1" header="0.5" footer="0.5"/>
  <headerFooter/>
  <legacyDrawing r:id="rId2"/>
  <picture r:id="rId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
  <sheetViews>
    <sheetView workbookViewId="0">
      <selection activeCell="A1" sqref="A1:M1"/>
    </sheetView>
  </sheetViews>
  <sheetFormatPr defaultColWidth="14" defaultRowHeight="13"/>
  <cols>
    <col min="1" max="2" width="10" customWidth="1"/>
    <col min="3" max="3" width="17" customWidth="1"/>
    <col min="4" max="4" width="14" customWidth="1"/>
    <col min="5" max="5" width="19" customWidth="1"/>
    <col min="6" max="6" width="13" customWidth="1"/>
    <col min="7" max="7" width="19" customWidth="1"/>
    <col min="8" max="8" width="15" customWidth="1"/>
    <col min="9" max="12" width="10" customWidth="1"/>
    <col min="13" max="13" width="17" customWidth="1"/>
    <col min="14" max="20" width="10" customWidth="1"/>
  </cols>
  <sheetData>
    <row r="1" ht="17" customHeight="1" spans="1:20">
      <c r="A1" s="40" t="s">
        <v>55</v>
      </c>
      <c r="B1" s="40"/>
      <c r="C1" s="40"/>
      <c r="D1" s="40"/>
      <c r="E1" s="40"/>
      <c r="F1" s="40"/>
      <c r="G1" s="40"/>
      <c r="H1" s="40"/>
      <c r="I1" s="40"/>
      <c r="J1" s="40"/>
      <c r="K1" s="40"/>
      <c r="L1" s="40"/>
      <c r="M1" s="40"/>
      <c r="N1" s="41"/>
      <c r="O1" s="41"/>
      <c r="P1" s="41"/>
      <c r="Q1" s="41"/>
      <c r="R1" s="41"/>
      <c r="S1" s="41"/>
      <c r="T1" s="41"/>
    </row>
    <row r="2" ht="38" customHeight="1" spans="1:20">
      <c r="A2" s="40" t="s">
        <v>64</v>
      </c>
      <c r="B2" s="40" t="s">
        <v>1</v>
      </c>
      <c r="C2" s="40" t="s">
        <v>67</v>
      </c>
      <c r="D2" s="40" t="s">
        <v>68</v>
      </c>
      <c r="E2" s="40" t="s">
        <v>69</v>
      </c>
      <c r="F2" s="40" t="s">
        <v>70</v>
      </c>
      <c r="G2" s="40" t="s">
        <v>1346</v>
      </c>
      <c r="H2" s="40" t="s">
        <v>1347</v>
      </c>
      <c r="I2" s="40" t="s">
        <v>1348</v>
      </c>
      <c r="J2" s="42" t="s">
        <v>1066</v>
      </c>
      <c r="K2" s="42" t="s">
        <v>1349</v>
      </c>
      <c r="L2" s="42" t="s">
        <v>66</v>
      </c>
      <c r="M2" s="42" t="s">
        <v>37</v>
      </c>
      <c r="N2" s="41"/>
      <c r="O2" s="41"/>
      <c r="P2" s="41"/>
      <c r="Q2" s="41"/>
      <c r="R2" s="41"/>
      <c r="S2" s="41"/>
      <c r="T2" s="41"/>
    </row>
    <row r="3" ht="33" customHeight="1" spans="1:20">
      <c r="A3" s="43">
        <v>1</v>
      </c>
      <c r="B3" s="43" t="s">
        <v>10</v>
      </c>
      <c r="C3" s="43" t="s">
        <v>1350</v>
      </c>
      <c r="D3" s="43" t="s">
        <v>101</v>
      </c>
      <c r="E3" s="43" t="s">
        <v>1351</v>
      </c>
      <c r="F3" s="43" t="s">
        <v>103</v>
      </c>
      <c r="G3" s="43"/>
      <c r="H3" s="44">
        <v>4850000</v>
      </c>
      <c r="I3" s="45">
        <v>0.043</v>
      </c>
      <c r="J3" s="46">
        <v>44900</v>
      </c>
      <c r="K3" s="43"/>
      <c r="L3" s="43"/>
      <c r="M3" s="47"/>
      <c r="N3" s="48"/>
      <c r="O3" s="48"/>
      <c r="P3" s="48"/>
      <c r="Q3" s="48"/>
      <c r="R3" s="48"/>
      <c r="S3" s="48"/>
      <c r="T3" s="48"/>
    </row>
    <row r="4" ht="33" customHeight="1" spans="1:20">
      <c r="A4" s="43">
        <v>2</v>
      </c>
      <c r="B4" s="43" t="s">
        <v>10</v>
      </c>
      <c r="C4" s="43" t="s">
        <v>1352</v>
      </c>
      <c r="D4" s="43" t="s">
        <v>101</v>
      </c>
      <c r="E4" s="43" t="s">
        <v>1353</v>
      </c>
      <c r="F4" s="43" t="s">
        <v>103</v>
      </c>
      <c r="G4" s="43"/>
      <c r="H4" s="49">
        <v>285000</v>
      </c>
      <c r="I4" s="45">
        <v>0.101</v>
      </c>
      <c r="J4" s="46">
        <v>44900</v>
      </c>
      <c r="K4" s="43"/>
      <c r="L4" s="43"/>
      <c r="M4" s="47"/>
      <c r="N4" s="48"/>
      <c r="O4" s="48"/>
      <c r="P4" s="48"/>
      <c r="Q4" s="48"/>
      <c r="R4" s="48"/>
      <c r="S4" s="48"/>
      <c r="T4" s="48"/>
    </row>
    <row r="5" ht="24" customHeight="1" spans="1:20">
      <c r="A5" s="43">
        <v>1</v>
      </c>
      <c r="B5" s="43" t="s">
        <v>10</v>
      </c>
      <c r="C5" s="43" t="s">
        <v>1354</v>
      </c>
      <c r="D5" s="43" t="s">
        <v>101</v>
      </c>
      <c r="E5" s="43" t="s">
        <v>1355</v>
      </c>
      <c r="F5" s="43" t="s">
        <v>103</v>
      </c>
      <c r="G5" s="43"/>
      <c r="H5" s="50">
        <v>3500000</v>
      </c>
      <c r="I5" s="45">
        <v>0.034</v>
      </c>
      <c r="J5" s="43">
        <v>2022</v>
      </c>
      <c r="K5" s="43"/>
      <c r="L5" s="43"/>
      <c r="M5" s="51"/>
    </row>
    <row r="6" ht="24" customHeight="1" spans="1:20">
      <c r="A6" s="43">
        <v>2</v>
      </c>
      <c r="B6" s="43" t="s">
        <v>10</v>
      </c>
      <c r="C6" s="43" t="s">
        <v>1356</v>
      </c>
      <c r="D6" s="43" t="s">
        <v>101</v>
      </c>
      <c r="E6" s="43" t="s">
        <v>1357</v>
      </c>
      <c r="F6" s="43" t="s">
        <v>103</v>
      </c>
      <c r="G6" s="43"/>
      <c r="H6" s="50">
        <v>1400000</v>
      </c>
      <c r="I6" s="45">
        <v>0.038</v>
      </c>
      <c r="J6" s="43">
        <v>2022</v>
      </c>
      <c r="K6" s="43"/>
      <c r="L6" s="43"/>
      <c r="M6" s="51"/>
    </row>
    <row r="7" ht="24" customHeight="1" spans="1:20">
      <c r="A7" s="43">
        <v>3</v>
      </c>
      <c r="B7" s="43" t="s">
        <v>1358</v>
      </c>
      <c r="C7" s="43" t="s">
        <v>1359</v>
      </c>
      <c r="D7" s="43" t="s">
        <v>1360</v>
      </c>
      <c r="E7" s="43" t="s">
        <v>1361</v>
      </c>
      <c r="F7" s="43" t="s">
        <v>1362</v>
      </c>
      <c r="G7" s="43"/>
      <c r="H7" s="50">
        <v>8200000</v>
      </c>
      <c r="I7" s="45">
        <v>0.03</v>
      </c>
      <c r="J7" s="43">
        <v>2023</v>
      </c>
      <c r="K7" s="43"/>
      <c r="L7" s="43"/>
      <c r="M7" s="51"/>
    </row>
    <row r="8" ht="24" customHeight="1" spans="1:20">
      <c r="A8" s="43">
        <v>4</v>
      </c>
      <c r="B8" s="43" t="s">
        <v>5</v>
      </c>
      <c r="C8" s="43" t="s">
        <v>1363</v>
      </c>
      <c r="D8" s="43" t="s">
        <v>1364</v>
      </c>
      <c r="E8" s="43"/>
      <c r="F8" s="43" t="s">
        <v>1365</v>
      </c>
      <c r="G8" s="43"/>
      <c r="H8" s="50">
        <v>484000000</v>
      </c>
      <c r="I8" s="45">
        <v>0.02</v>
      </c>
      <c r="J8" s="46">
        <v>45368</v>
      </c>
      <c r="K8" s="43"/>
      <c r="L8" s="43" t="s">
        <v>1366</v>
      </c>
      <c r="M8" s="43" t="s">
        <v>1367</v>
      </c>
    </row>
    <row r="9" ht="72" customHeight="1" spans="1:20">
      <c r="A9" s="43">
        <v>5</v>
      </c>
      <c r="B9" s="43" t="s">
        <v>10</v>
      </c>
      <c r="C9" s="43" t="s">
        <v>1368</v>
      </c>
      <c r="D9" s="43" t="s">
        <v>1369</v>
      </c>
      <c r="E9" s="43" t="s">
        <v>1369</v>
      </c>
      <c r="F9" s="43" t="s">
        <v>1365</v>
      </c>
      <c r="G9" s="43"/>
      <c r="H9" s="50">
        <v>72165700</v>
      </c>
      <c r="I9" s="45">
        <v>0.0545</v>
      </c>
      <c r="J9" s="46">
        <v>45463</v>
      </c>
      <c r="K9" s="43"/>
      <c r="L9" s="43" t="s">
        <v>1370</v>
      </c>
      <c r="M9" s="43" t="s">
        <v>1371</v>
      </c>
    </row>
    <row r="10" ht="72" customHeight="1" spans="1:20">
      <c r="A10" s="43">
        <v>6</v>
      </c>
      <c r="B10" s="43" t="s">
        <v>331</v>
      </c>
      <c r="C10" s="43" t="s">
        <v>1372</v>
      </c>
      <c r="D10" s="43" t="s">
        <v>1373</v>
      </c>
      <c r="E10" s="43"/>
      <c r="F10" s="43" t="s">
        <v>1374</v>
      </c>
      <c r="G10" s="43"/>
      <c r="H10" s="50">
        <v>135000000</v>
      </c>
      <c r="I10" s="45">
        <v>0.01</v>
      </c>
      <c r="J10" s="46">
        <v>45493</v>
      </c>
      <c r="K10" s="43" t="s">
        <v>1375</v>
      </c>
      <c r="L10" s="43" t="s">
        <v>371</v>
      </c>
      <c r="M10" s="43" t="s">
        <v>1376</v>
      </c>
    </row>
    <row r="11" ht="24" customHeight="1" spans="1:20">
      <c r="A11" s="43">
        <v>7</v>
      </c>
      <c r="B11" s="43" t="s">
        <v>7</v>
      </c>
      <c r="C11" s="43" t="s">
        <v>1377</v>
      </c>
      <c r="D11" s="43" t="s">
        <v>1378</v>
      </c>
      <c r="E11" s="43"/>
      <c r="F11" s="43" t="s">
        <v>1365</v>
      </c>
      <c r="G11" s="43"/>
      <c r="H11" s="50">
        <v>350000000</v>
      </c>
      <c r="I11" s="45">
        <v>0.04</v>
      </c>
      <c r="J11" s="46">
        <v>45555</v>
      </c>
      <c r="K11" s="43"/>
      <c r="L11" s="43" t="s">
        <v>1379</v>
      </c>
      <c r="M11" s="43"/>
    </row>
    <row r="12" ht="24" customHeight="1" spans="1:20">
      <c r="A12" s="43">
        <v>8</v>
      </c>
      <c r="B12" s="43" t="s">
        <v>1380</v>
      </c>
      <c r="C12" s="43" t="s">
        <v>1381</v>
      </c>
      <c r="D12" s="43" t="s">
        <v>1382</v>
      </c>
      <c r="E12" s="43" t="s">
        <v>1383</v>
      </c>
      <c r="F12" s="43" t="s">
        <v>1365</v>
      </c>
      <c r="G12" s="43"/>
      <c r="H12" s="50">
        <v>280000000</v>
      </c>
      <c r="I12" s="45">
        <v>0.03</v>
      </c>
      <c r="J12" s="46">
        <v>45616</v>
      </c>
      <c r="K12" s="43"/>
      <c r="L12" s="43" t="s">
        <v>769</v>
      </c>
      <c r="M12" s="43" t="s">
        <v>1384</v>
      </c>
    </row>
    <row r="13" ht="24" customHeight="1" spans="1:20">
      <c r="A13" s="43">
        <v>9</v>
      </c>
      <c r="B13" s="43" t="s">
        <v>5</v>
      </c>
      <c r="C13" s="43" t="s">
        <v>1385</v>
      </c>
      <c r="D13" s="43" t="s">
        <v>1386</v>
      </c>
      <c r="E13" s="43"/>
      <c r="F13" s="43" t="s">
        <v>1387</v>
      </c>
      <c r="G13" s="43"/>
      <c r="H13" s="50">
        <v>1100000</v>
      </c>
      <c r="I13" s="45">
        <v>0.15</v>
      </c>
      <c r="J13" s="46">
        <v>45639</v>
      </c>
      <c r="K13" s="43"/>
      <c r="L13" s="43" t="s">
        <v>1388</v>
      </c>
      <c r="M13" s="43" t="s">
        <v>1389</v>
      </c>
    </row>
    <row r="14" ht="24" customHeight="1" spans="1:20">
      <c r="A14" s="43">
        <v>10</v>
      </c>
      <c r="B14" s="43" t="s">
        <v>1380</v>
      </c>
      <c r="C14" s="43" t="s">
        <v>1390</v>
      </c>
      <c r="D14" s="43" t="s">
        <v>1391</v>
      </c>
      <c r="E14" s="43" t="s">
        <v>1392</v>
      </c>
      <c r="F14" s="43" t="s">
        <v>134</v>
      </c>
      <c r="G14" s="43"/>
      <c r="H14" s="50">
        <v>7200000</v>
      </c>
      <c r="I14" s="45">
        <v>0.16</v>
      </c>
      <c r="J14" s="46">
        <v>45646</v>
      </c>
      <c r="K14" s="43"/>
      <c r="L14" s="43" t="s">
        <v>769</v>
      </c>
      <c r="M14" s="43"/>
    </row>
    <row r="15" ht="24" customHeight="1" spans="1:20">
      <c r="A15" s="43">
        <v>11</v>
      </c>
      <c r="B15" s="43">
        <v>0</v>
      </c>
      <c r="C15" s="43" t="s">
        <v>1393</v>
      </c>
      <c r="D15" s="43" t="s">
        <v>50</v>
      </c>
      <c r="E15" s="43"/>
      <c r="F15" s="43" t="s">
        <v>1365</v>
      </c>
      <c r="G15" s="43"/>
      <c r="H15" s="50">
        <v>180000000</v>
      </c>
      <c r="I15" s="45">
        <v>0.05</v>
      </c>
      <c r="J15" s="46">
        <v>45656</v>
      </c>
      <c r="K15" s="43"/>
      <c r="L15" s="43" t="s">
        <v>1394</v>
      </c>
      <c r="M15" s="43"/>
    </row>
    <row r="16" ht="24" customHeight="1" spans="1:20">
      <c r="A16" s="43">
        <v>12</v>
      </c>
      <c r="B16" s="43" t="s">
        <v>11</v>
      </c>
      <c r="C16" s="43" t="s">
        <v>1395</v>
      </c>
      <c r="D16" s="43" t="s">
        <v>1396</v>
      </c>
      <c r="E16" s="43"/>
      <c r="F16" s="43" t="s">
        <v>1365</v>
      </c>
      <c r="G16" s="43"/>
      <c r="H16" s="50">
        <v>30000000</v>
      </c>
      <c r="I16" s="45">
        <v>0.0544</v>
      </c>
      <c r="J16" s="46">
        <v>45882</v>
      </c>
      <c r="K16" s="43"/>
      <c r="L16" s="46" t="s">
        <v>1397</v>
      </c>
      <c r="M16" s="43" t="s">
        <v>1398</v>
      </c>
    </row>
    <row r="17" ht="48" customHeight="1" spans="1:13">
      <c r="A17" s="43">
        <v>13</v>
      </c>
      <c r="B17" s="43" t="s">
        <v>11</v>
      </c>
      <c r="C17" s="43" t="s">
        <v>1399</v>
      </c>
      <c r="D17" s="43" t="s">
        <v>1400</v>
      </c>
      <c r="E17" s="43" t="s">
        <v>1400</v>
      </c>
      <c r="F17" s="43" t="s">
        <v>1401</v>
      </c>
      <c r="G17" s="43"/>
      <c r="H17" s="50">
        <v>5180000</v>
      </c>
      <c r="I17" s="45">
        <v>0.0501</v>
      </c>
      <c r="J17" s="46">
        <v>45889</v>
      </c>
      <c r="K17" s="43"/>
      <c r="L17" s="46" t="s">
        <v>1402</v>
      </c>
      <c r="M17" s="43" t="s">
        <v>1403</v>
      </c>
    </row>
    <row r="18" ht="36" customHeight="1" spans="1:13">
      <c r="A18" s="43">
        <v>14</v>
      </c>
      <c r="B18" s="43" t="s">
        <v>7</v>
      </c>
      <c r="C18" s="43" t="s">
        <v>1404</v>
      </c>
      <c r="D18" s="43" t="s">
        <v>1405</v>
      </c>
      <c r="E18" s="43" t="s">
        <v>1406</v>
      </c>
      <c r="F18" s="43" t="s">
        <v>1374</v>
      </c>
      <c r="G18" s="43"/>
      <c r="H18" s="50">
        <v>7379080</v>
      </c>
      <c r="I18" s="45">
        <v>0.1</v>
      </c>
      <c r="J18" s="46">
        <v>45891</v>
      </c>
      <c r="K18" s="43"/>
      <c r="L18" s="43" t="s">
        <v>1407</v>
      </c>
      <c r="M18" s="43" t="s">
        <v>1408</v>
      </c>
    </row>
    <row r="19" ht="48" customHeight="1" spans="1:13">
      <c r="A19" s="43">
        <v>15</v>
      </c>
      <c r="B19" s="43" t="s">
        <v>7</v>
      </c>
      <c r="C19" s="43" t="s">
        <v>1409</v>
      </c>
      <c r="D19" s="43" t="s">
        <v>1410</v>
      </c>
      <c r="E19" s="43" t="s">
        <v>1411</v>
      </c>
      <c r="F19" s="43" t="s">
        <v>1412</v>
      </c>
      <c r="G19" s="43"/>
      <c r="H19" s="50">
        <v>960000</v>
      </c>
      <c r="I19" s="45">
        <v>0.21</v>
      </c>
      <c r="J19" s="46">
        <v>45930</v>
      </c>
      <c r="K19" s="43"/>
      <c r="L19" s="46" t="s">
        <v>1413</v>
      </c>
      <c r="M19" s="43" t="s">
        <v>1414</v>
      </c>
    </row>
    <row r="20" ht="36" customHeight="1" spans="1:13">
      <c r="A20" s="43">
        <v>16</v>
      </c>
      <c r="B20" s="43" t="s">
        <v>5</v>
      </c>
      <c r="C20" s="43" t="s">
        <v>1415</v>
      </c>
      <c r="D20" s="43" t="s">
        <v>1416</v>
      </c>
      <c r="E20" s="43" t="s">
        <v>1417</v>
      </c>
      <c r="F20" s="43" t="s">
        <v>1418</v>
      </c>
      <c r="G20" s="43"/>
      <c r="H20" s="50">
        <v>6922363.68</v>
      </c>
      <c r="I20" s="45">
        <v>0.0544</v>
      </c>
      <c r="J20" s="46">
        <v>45982</v>
      </c>
      <c r="K20" s="43"/>
      <c r="L20" s="46" t="s">
        <v>360</v>
      </c>
      <c r="M20" s="43" t="s">
        <v>1419</v>
      </c>
    </row>
  </sheetData>
  <mergeCells count="1">
    <mergeCell ref="A1:M1"/>
  </mergeCells>
  <dataValidations count="1">
    <dataValidation type="list" allowBlank="1" showErrorMessage="1" sqref="F3:F6">
      <formula1>"纯外购软硬件不满足管控要求,纯第三方采购,纯技术转包,垫资,多层分包,亏损"</formula1>
    </dataValidation>
  </dataValidations>
  <pageMargins left="0.75" right="0.75" top="1" bottom="1" header="0.5" footer="0.5"/>
  <headerFooter/>
  <legacyDrawing r:id="rId2"/>
  <picture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59"/>
  <sheetViews>
    <sheetView workbookViewId="0">
      <selection activeCell="A1" sqref="A1"/>
    </sheetView>
  </sheetViews>
  <sheetFormatPr defaultColWidth="14" defaultRowHeight="13"/>
  <cols>
    <col min="1" max="13" width="16" customWidth="1"/>
    <col min="14" max="14" width="22" customWidth="1"/>
    <col min="15" max="15" width="16" customWidth="1"/>
    <col min="16" max="16" width="25" customWidth="1"/>
    <col min="17" max="20" width="16" customWidth="1"/>
  </cols>
  <sheetData>
    <row r="1" ht="18" customHeight="1" spans="1:20">
      <c r="A1" s="1"/>
      <c r="B1" s="1"/>
      <c r="C1" s="1"/>
      <c r="D1" s="1"/>
      <c r="E1" s="1"/>
      <c r="F1" s="1"/>
      <c r="G1" s="1"/>
      <c r="H1" s="1"/>
      <c r="I1" s="1"/>
      <c r="J1" s="1"/>
      <c r="K1" s="1"/>
      <c r="L1" s="1"/>
      <c r="M1" s="1"/>
      <c r="N1" s="1"/>
      <c r="O1" s="1"/>
      <c r="P1" s="1"/>
      <c r="Q1" s="1"/>
      <c r="R1" s="1"/>
      <c r="S1" s="1"/>
      <c r="T1" s="1"/>
    </row>
    <row r="2" ht="18" customHeight="1" spans="1:20">
      <c r="A2" s="2" t="s">
        <v>1420</v>
      </c>
      <c r="B2" s="2" t="s">
        <v>1421</v>
      </c>
      <c r="C2" s="2" t="s">
        <v>1422</v>
      </c>
      <c r="D2" s="2" t="s">
        <v>1423</v>
      </c>
      <c r="E2" s="2" t="s">
        <v>67</v>
      </c>
      <c r="F2" s="2" t="s">
        <v>1424</v>
      </c>
      <c r="G2" s="2" t="s">
        <v>1425</v>
      </c>
      <c r="H2" s="2" t="s">
        <v>1426</v>
      </c>
      <c r="I2" s="2" t="s">
        <v>1427</v>
      </c>
      <c r="J2" s="2" t="s">
        <v>1428</v>
      </c>
      <c r="K2" s="2" t="s">
        <v>1429</v>
      </c>
      <c r="L2" s="2" t="s">
        <v>1430</v>
      </c>
      <c r="M2" s="2" t="s">
        <v>1431</v>
      </c>
      <c r="N2" s="2" t="s">
        <v>1432</v>
      </c>
      <c r="O2" s="2" t="s">
        <v>1433</v>
      </c>
      <c r="P2" s="2" t="s">
        <v>77</v>
      </c>
      <c r="Q2" s="2" t="s">
        <v>1434</v>
      </c>
      <c r="R2" s="2" t="s">
        <v>1435</v>
      </c>
      <c r="S2" s="2" t="s">
        <v>1436</v>
      </c>
      <c r="T2" s="3" t="s">
        <v>1437</v>
      </c>
    </row>
    <row r="3" ht="18" customHeight="1" spans="1:20">
      <c r="A3" s="1"/>
      <c r="B3" s="1"/>
      <c r="C3" s="1"/>
      <c r="D3" s="1"/>
      <c r="E3" s="1"/>
      <c r="F3" s="1"/>
      <c r="G3" s="1"/>
      <c r="H3" s="1"/>
      <c r="I3" s="1"/>
      <c r="J3" s="1"/>
      <c r="K3" s="1"/>
      <c r="L3" s="1"/>
      <c r="M3" s="1"/>
      <c r="N3" s="1"/>
      <c r="O3" s="1"/>
      <c r="P3" s="1"/>
      <c r="Q3" s="1"/>
      <c r="R3" s="1"/>
      <c r="S3" s="1"/>
      <c r="T3" s="1"/>
    </row>
    <row r="4" ht="18" customHeight="1" spans="1:20">
      <c r="A4" s="4" t="s">
        <v>1438</v>
      </c>
      <c r="B4" s="5" t="s">
        <v>1439</v>
      </c>
      <c r="C4" s="5" t="s">
        <v>1440</v>
      </c>
      <c r="D4" s="5" t="s">
        <v>246</v>
      </c>
      <c r="E4" s="5" t="s">
        <v>1441</v>
      </c>
      <c r="F4" s="6" t="s">
        <v>1442</v>
      </c>
      <c r="G4" s="7">
        <v>45195</v>
      </c>
      <c r="H4" s="6" t="s">
        <v>1443</v>
      </c>
      <c r="I4" s="6" t="s">
        <v>1442</v>
      </c>
      <c r="J4" s="6" t="s">
        <v>1444</v>
      </c>
      <c r="K4" s="6" t="s">
        <v>1445</v>
      </c>
      <c r="L4" s="6"/>
      <c r="M4" s="6" t="s">
        <v>1446</v>
      </c>
      <c r="N4" s="8">
        <v>9786250</v>
      </c>
      <c r="O4" s="9">
        <v>1.0001</v>
      </c>
      <c r="P4" s="6" t="s">
        <v>1447</v>
      </c>
      <c r="Q4" s="6" t="s">
        <v>1448</v>
      </c>
      <c r="R4" s="6" t="s">
        <v>1449</v>
      </c>
      <c r="S4" s="6" t="s">
        <v>1449</v>
      </c>
      <c r="T4" s="10"/>
    </row>
    <row r="5" ht="18" customHeight="1" spans="1:20">
      <c r="A5" s="11" t="s">
        <v>1450</v>
      </c>
      <c r="B5" s="12" t="s">
        <v>1439</v>
      </c>
      <c r="C5" s="12" t="s">
        <v>1440</v>
      </c>
      <c r="D5" s="12" t="s">
        <v>246</v>
      </c>
      <c r="E5" s="12" t="s">
        <v>1441</v>
      </c>
      <c r="F5" s="13" t="s">
        <v>1442</v>
      </c>
      <c r="G5" s="14">
        <v>45195</v>
      </c>
      <c r="H5" s="13" t="s">
        <v>1443</v>
      </c>
      <c r="I5" s="13" t="s">
        <v>1442</v>
      </c>
      <c r="J5" s="13" t="s">
        <v>1444</v>
      </c>
      <c r="K5" s="13" t="s">
        <v>1451</v>
      </c>
      <c r="L5" s="13"/>
      <c r="M5" s="13" t="s">
        <v>1446</v>
      </c>
      <c r="N5" s="15">
        <v>3092625</v>
      </c>
      <c r="O5" s="16">
        <v>1</v>
      </c>
      <c r="P5" s="13" t="s">
        <v>1447</v>
      </c>
      <c r="Q5" s="13" t="s">
        <v>1448</v>
      </c>
      <c r="R5" s="13" t="s">
        <v>1449</v>
      </c>
      <c r="S5" s="13" t="s">
        <v>1449</v>
      </c>
      <c r="T5" s="17"/>
    </row>
    <row r="6" ht="18" customHeight="1" spans="1:20">
      <c r="A6" s="18" t="s">
        <v>1452</v>
      </c>
      <c r="B6" s="19" t="s">
        <v>1439</v>
      </c>
      <c r="C6" s="19" t="s">
        <v>1440</v>
      </c>
      <c r="D6" s="19" t="s">
        <v>246</v>
      </c>
      <c r="E6" s="19" t="s">
        <v>1441</v>
      </c>
      <c r="F6" s="20" t="s">
        <v>1442</v>
      </c>
      <c r="G6" s="21">
        <v>45191</v>
      </c>
      <c r="H6" s="20" t="s">
        <v>1443</v>
      </c>
      <c r="I6" s="20" t="s">
        <v>1442</v>
      </c>
      <c r="J6" s="20" t="s">
        <v>1444</v>
      </c>
      <c r="K6" s="20" t="s">
        <v>1451</v>
      </c>
      <c r="L6" s="20"/>
      <c r="M6" s="20" t="s">
        <v>1446</v>
      </c>
      <c r="N6" s="22">
        <v>47167500</v>
      </c>
      <c r="O6" s="23">
        <v>1</v>
      </c>
      <c r="P6" s="20" t="s">
        <v>1447</v>
      </c>
      <c r="Q6" s="20" t="s">
        <v>1448</v>
      </c>
      <c r="R6" s="20" t="s">
        <v>1449</v>
      </c>
      <c r="S6" s="20" t="s">
        <v>1449</v>
      </c>
      <c r="T6" s="24"/>
    </row>
    <row r="7" ht="18" customHeight="1" spans="1:20">
      <c r="A7" s="25"/>
      <c r="B7" s="25"/>
      <c r="C7" s="25"/>
      <c r="D7" s="25"/>
      <c r="E7" s="25"/>
      <c r="F7" s="25"/>
      <c r="G7" s="25"/>
      <c r="H7" s="25"/>
      <c r="I7" s="25"/>
      <c r="J7" s="25"/>
      <c r="K7" s="25"/>
      <c r="L7" s="25"/>
      <c r="M7" s="25"/>
      <c r="N7" s="26">
        <v>60046375</v>
      </c>
      <c r="O7" s="25"/>
      <c r="P7" s="25"/>
      <c r="Q7" s="25"/>
      <c r="R7" s="25"/>
      <c r="S7" s="25"/>
      <c r="T7" s="25"/>
    </row>
    <row r="8" ht="18" customHeight="1" spans="1:20">
      <c r="A8" s="25"/>
      <c r="B8" s="25"/>
      <c r="C8" s="25"/>
      <c r="D8" s="25"/>
      <c r="E8" s="25"/>
      <c r="F8" s="25"/>
      <c r="G8" s="25"/>
      <c r="H8" s="25"/>
      <c r="I8" s="25"/>
      <c r="J8" s="25"/>
      <c r="K8" s="25"/>
      <c r="L8" s="25"/>
      <c r="M8" s="25"/>
      <c r="N8" s="25"/>
      <c r="O8" s="25"/>
      <c r="P8" s="25"/>
      <c r="Q8" s="25"/>
      <c r="R8" s="25"/>
      <c r="S8" s="25"/>
      <c r="T8" s="25"/>
    </row>
    <row r="9" ht="18" customHeight="1" spans="1:20">
      <c r="A9" s="1"/>
      <c r="B9" s="1"/>
      <c r="C9" s="1"/>
      <c r="D9" s="1"/>
      <c r="E9" s="1"/>
      <c r="F9" s="1"/>
      <c r="G9" s="1"/>
      <c r="H9" s="1"/>
      <c r="I9" s="1"/>
      <c r="J9" s="1"/>
      <c r="K9" s="1"/>
      <c r="L9" s="1"/>
      <c r="M9" s="1"/>
      <c r="N9" s="1"/>
      <c r="O9" s="1"/>
      <c r="P9" s="1"/>
      <c r="Q9" s="1"/>
      <c r="R9" s="1"/>
      <c r="S9" s="1"/>
      <c r="T9" s="1"/>
    </row>
    <row r="10" ht="18" customHeight="1" spans="1:20">
      <c r="A10" s="2" t="s">
        <v>1420</v>
      </c>
      <c r="B10" s="2" t="s">
        <v>1421</v>
      </c>
      <c r="C10" s="2" t="s">
        <v>1422</v>
      </c>
      <c r="D10" s="2" t="s">
        <v>1423</v>
      </c>
      <c r="E10" s="2" t="s">
        <v>67</v>
      </c>
      <c r="F10" s="2" t="s">
        <v>1424</v>
      </c>
      <c r="G10" s="2" t="s">
        <v>1425</v>
      </c>
      <c r="H10" s="2" t="s">
        <v>1426</v>
      </c>
      <c r="I10" s="2" t="s">
        <v>1427</v>
      </c>
      <c r="J10" s="2" t="s">
        <v>1428</v>
      </c>
      <c r="K10" s="2" t="s">
        <v>1429</v>
      </c>
      <c r="L10" s="2" t="s">
        <v>1430</v>
      </c>
      <c r="M10" s="2" t="s">
        <v>1431</v>
      </c>
      <c r="N10" s="2" t="s">
        <v>1432</v>
      </c>
      <c r="O10" s="2" t="s">
        <v>1433</v>
      </c>
      <c r="P10" s="2" t="s">
        <v>77</v>
      </c>
      <c r="Q10" s="2" t="s">
        <v>1434</v>
      </c>
      <c r="R10" s="2" t="s">
        <v>1435</v>
      </c>
      <c r="S10" s="2" t="s">
        <v>1436</v>
      </c>
      <c r="T10" s="3" t="s">
        <v>1437</v>
      </c>
    </row>
    <row r="11" ht="18" customHeight="1" spans="1:20">
      <c r="A11" s="1"/>
      <c r="B11" s="1"/>
      <c r="C11" s="1"/>
      <c r="D11" s="1"/>
      <c r="E11" s="1"/>
      <c r="F11" s="1"/>
      <c r="G11" s="1"/>
      <c r="H11" s="1"/>
      <c r="I11" s="1"/>
      <c r="J11" s="1"/>
      <c r="K11" s="1"/>
      <c r="L11" s="1"/>
      <c r="M11" s="1"/>
      <c r="N11" s="1"/>
      <c r="O11" s="1"/>
      <c r="P11" s="1"/>
      <c r="Q11" s="1"/>
      <c r="R11" s="1"/>
      <c r="S11" s="1"/>
      <c r="T11" s="1"/>
    </row>
    <row r="12" ht="18" customHeight="1" spans="1:20">
      <c r="A12" s="4" t="s">
        <v>1453</v>
      </c>
      <c r="B12" s="5" t="s">
        <v>1439</v>
      </c>
      <c r="C12" s="5" t="s">
        <v>1440</v>
      </c>
      <c r="D12" s="5" t="s">
        <v>261</v>
      </c>
      <c r="E12" s="5" t="s">
        <v>1454</v>
      </c>
      <c r="F12" s="6" t="s">
        <v>1442</v>
      </c>
      <c r="G12" s="7">
        <v>45093</v>
      </c>
      <c r="H12" s="6" t="s">
        <v>1455</v>
      </c>
      <c r="I12" s="6" t="s">
        <v>1442</v>
      </c>
      <c r="J12" s="6" t="s">
        <v>1444</v>
      </c>
      <c r="K12" s="6" t="s">
        <v>1456</v>
      </c>
      <c r="L12" s="6"/>
      <c r="M12" s="6" t="s">
        <v>1446</v>
      </c>
      <c r="N12" s="8">
        <v>2387900</v>
      </c>
      <c r="O12" s="27">
        <v>1</v>
      </c>
      <c r="P12" s="6" t="s">
        <v>1447</v>
      </c>
      <c r="Q12" s="6" t="s">
        <v>1448</v>
      </c>
      <c r="R12" s="6" t="s">
        <v>1449</v>
      </c>
      <c r="S12" s="6" t="s">
        <v>1449</v>
      </c>
      <c r="T12" s="10"/>
    </row>
    <row r="13" ht="18" customHeight="1" spans="1:20">
      <c r="A13" s="11" t="s">
        <v>1457</v>
      </c>
      <c r="B13" s="12" t="s">
        <v>1439</v>
      </c>
      <c r="C13" s="12" t="s">
        <v>1440</v>
      </c>
      <c r="D13" s="12" t="s">
        <v>261</v>
      </c>
      <c r="E13" s="12" t="s">
        <v>1454</v>
      </c>
      <c r="F13" s="13" t="s">
        <v>1442</v>
      </c>
      <c r="G13" s="14">
        <v>45089</v>
      </c>
      <c r="H13" s="13" t="s">
        <v>1455</v>
      </c>
      <c r="I13" s="13" t="s">
        <v>1442</v>
      </c>
      <c r="J13" s="13" t="s">
        <v>1444</v>
      </c>
      <c r="K13" s="13" t="s">
        <v>1456</v>
      </c>
      <c r="L13" s="13"/>
      <c r="M13" s="13" t="s">
        <v>1446</v>
      </c>
      <c r="N13" s="15">
        <v>28409700</v>
      </c>
      <c r="O13" s="16">
        <v>1</v>
      </c>
      <c r="P13" s="13" t="s">
        <v>1447</v>
      </c>
      <c r="Q13" s="13" t="s">
        <v>1448</v>
      </c>
      <c r="R13" s="13" t="s">
        <v>1449</v>
      </c>
      <c r="S13" s="13" t="s">
        <v>1449</v>
      </c>
      <c r="T13" s="17"/>
    </row>
    <row r="14" ht="18" customHeight="1" spans="1:20">
      <c r="A14" s="25"/>
      <c r="B14" s="25"/>
      <c r="C14" s="25"/>
      <c r="D14" s="25"/>
      <c r="E14" s="25"/>
      <c r="F14" s="25"/>
      <c r="G14" s="25"/>
      <c r="H14" s="25"/>
      <c r="I14" s="25"/>
      <c r="J14" s="25"/>
      <c r="K14" s="25"/>
      <c r="L14" s="25"/>
      <c r="M14" s="25"/>
      <c r="N14" s="26">
        <v>30797600</v>
      </c>
      <c r="O14" s="25"/>
      <c r="P14" s="25"/>
      <c r="Q14" s="25"/>
      <c r="R14" s="25"/>
      <c r="S14" s="25"/>
      <c r="T14" s="25"/>
    </row>
    <row r="15" ht="18" customHeight="1" spans="1:20">
      <c r="A15" s="25"/>
      <c r="B15" s="25"/>
      <c r="C15" s="25"/>
      <c r="D15" s="25"/>
      <c r="E15" s="25"/>
      <c r="F15" s="25"/>
      <c r="G15" s="25"/>
      <c r="H15" s="25"/>
      <c r="I15" s="25"/>
      <c r="J15" s="25"/>
      <c r="K15" s="25"/>
      <c r="L15" s="25"/>
      <c r="M15" s="25"/>
      <c r="N15" s="25"/>
      <c r="O15" s="25"/>
      <c r="P15" s="25"/>
      <c r="Q15" s="25"/>
      <c r="R15" s="25"/>
      <c r="S15" s="25"/>
      <c r="T15" s="25"/>
    </row>
    <row r="16" ht="18" customHeight="1" spans="1:20">
      <c r="A16" s="25"/>
      <c r="B16" s="25"/>
      <c r="C16" s="25"/>
      <c r="D16" s="25"/>
      <c r="E16" s="25"/>
      <c r="F16" s="25"/>
      <c r="G16" s="25"/>
      <c r="H16" s="25"/>
      <c r="I16" s="25"/>
      <c r="J16" s="25"/>
      <c r="K16" s="25"/>
      <c r="L16" s="25"/>
      <c r="M16" s="25"/>
      <c r="N16" s="25"/>
      <c r="O16" s="25"/>
      <c r="P16" s="25"/>
      <c r="Q16" s="25"/>
      <c r="R16" s="25"/>
      <c r="S16" s="25"/>
      <c r="T16" s="25"/>
    </row>
    <row r="17" ht="18" customHeight="1" spans="1:20">
      <c r="A17" s="1"/>
      <c r="B17" s="1"/>
      <c r="C17" s="1"/>
      <c r="D17" s="1"/>
      <c r="E17" s="1"/>
      <c r="F17" s="1"/>
      <c r="G17" s="1"/>
      <c r="H17" s="1"/>
      <c r="I17" s="1"/>
      <c r="J17" s="1"/>
      <c r="K17" s="1"/>
      <c r="L17" s="1"/>
      <c r="M17" s="1"/>
      <c r="N17" s="1"/>
      <c r="O17" s="1"/>
      <c r="P17" s="1"/>
      <c r="Q17" s="1"/>
      <c r="R17" s="1"/>
      <c r="S17" s="1"/>
      <c r="T17" s="1"/>
    </row>
    <row r="18" ht="18" customHeight="1" spans="1:20">
      <c r="A18" s="2" t="s">
        <v>1420</v>
      </c>
      <c r="B18" s="2" t="s">
        <v>1421</v>
      </c>
      <c r="C18" s="2" t="s">
        <v>1422</v>
      </c>
      <c r="D18" s="2" t="s">
        <v>1423</v>
      </c>
      <c r="E18" s="2" t="s">
        <v>67</v>
      </c>
      <c r="F18" s="2" t="s">
        <v>1424</v>
      </c>
      <c r="G18" s="2" t="s">
        <v>1425</v>
      </c>
      <c r="H18" s="2" t="s">
        <v>1426</v>
      </c>
      <c r="I18" s="2" t="s">
        <v>1427</v>
      </c>
      <c r="J18" s="2" t="s">
        <v>1428</v>
      </c>
      <c r="K18" s="2" t="s">
        <v>1429</v>
      </c>
      <c r="L18" s="2" t="s">
        <v>1430</v>
      </c>
      <c r="M18" s="2" t="s">
        <v>1431</v>
      </c>
      <c r="N18" s="2" t="s">
        <v>1432</v>
      </c>
      <c r="O18" s="2" t="s">
        <v>1433</v>
      </c>
      <c r="P18" s="2" t="s">
        <v>77</v>
      </c>
      <c r="Q18" s="2" t="s">
        <v>1434</v>
      </c>
      <c r="R18" s="2" t="s">
        <v>1435</v>
      </c>
      <c r="S18" s="2" t="s">
        <v>1436</v>
      </c>
      <c r="T18" s="3" t="s">
        <v>1437</v>
      </c>
    </row>
    <row r="19" ht="18" customHeight="1" spans="1:20">
      <c r="A19" s="1"/>
      <c r="B19" s="1"/>
      <c r="C19" s="1"/>
      <c r="D19" s="1"/>
      <c r="E19" s="1"/>
      <c r="F19" s="1"/>
      <c r="G19" s="1"/>
      <c r="H19" s="1"/>
      <c r="I19" s="1"/>
      <c r="J19" s="1"/>
      <c r="K19" s="1"/>
      <c r="L19" s="1"/>
      <c r="M19" s="1"/>
      <c r="N19" s="1"/>
      <c r="O19" s="1"/>
      <c r="P19" s="1"/>
      <c r="Q19" s="1"/>
      <c r="R19" s="1"/>
      <c r="S19" s="1"/>
      <c r="T19" s="1"/>
    </row>
    <row r="20" ht="18" customHeight="1" spans="1:20">
      <c r="A20" s="4" t="s">
        <v>1458</v>
      </c>
      <c r="B20" s="5" t="s">
        <v>1439</v>
      </c>
      <c r="C20" s="5" t="s">
        <v>1440</v>
      </c>
      <c r="D20" s="5" t="s">
        <v>272</v>
      </c>
      <c r="E20" s="5" t="s">
        <v>1459</v>
      </c>
      <c r="F20" s="6" t="s">
        <v>1442</v>
      </c>
      <c r="G20" s="7">
        <v>45279</v>
      </c>
      <c r="H20" s="6" t="s">
        <v>1443</v>
      </c>
      <c r="I20" s="6" t="s">
        <v>1442</v>
      </c>
      <c r="J20" s="6" t="s">
        <v>1444</v>
      </c>
      <c r="K20" s="6" t="s">
        <v>1445</v>
      </c>
      <c r="L20" s="6"/>
      <c r="M20" s="6" t="s">
        <v>1446</v>
      </c>
      <c r="N20" s="8">
        <v>6512650</v>
      </c>
      <c r="O20" s="9">
        <v>1.0001</v>
      </c>
      <c r="P20" s="6" t="s">
        <v>1447</v>
      </c>
      <c r="Q20" s="6" t="s">
        <v>1448</v>
      </c>
      <c r="R20" s="6" t="s">
        <v>1449</v>
      </c>
      <c r="S20" s="6" t="s">
        <v>1449</v>
      </c>
      <c r="T20" s="10"/>
    </row>
    <row r="21" ht="18" customHeight="1" spans="1:20">
      <c r="A21" s="11" t="s">
        <v>1460</v>
      </c>
      <c r="B21" s="12" t="s">
        <v>1439</v>
      </c>
      <c r="C21" s="12" t="s">
        <v>1440</v>
      </c>
      <c r="D21" s="12" t="s">
        <v>272</v>
      </c>
      <c r="E21" s="12" t="s">
        <v>1459</v>
      </c>
      <c r="F21" s="13" t="s">
        <v>1442</v>
      </c>
      <c r="G21" s="14">
        <v>45278</v>
      </c>
      <c r="H21" s="13" t="s">
        <v>1443</v>
      </c>
      <c r="I21" s="13" t="s">
        <v>1442</v>
      </c>
      <c r="J21" s="13" t="s">
        <v>1444</v>
      </c>
      <c r="K21" s="13" t="s">
        <v>1451</v>
      </c>
      <c r="L21" s="13"/>
      <c r="M21" s="13" t="s">
        <v>1446</v>
      </c>
      <c r="N21" s="15">
        <v>2068985</v>
      </c>
      <c r="O21" s="16">
        <v>1</v>
      </c>
      <c r="P21" s="13" t="s">
        <v>1447</v>
      </c>
      <c r="Q21" s="13" t="s">
        <v>1448</v>
      </c>
      <c r="R21" s="13" t="s">
        <v>1449</v>
      </c>
      <c r="S21" s="13" t="s">
        <v>1449</v>
      </c>
      <c r="T21" s="17"/>
    </row>
    <row r="22" ht="18" customHeight="1" spans="1:20">
      <c r="A22" s="18" t="s">
        <v>1461</v>
      </c>
      <c r="B22" s="19" t="s">
        <v>1439</v>
      </c>
      <c r="C22" s="19" t="s">
        <v>1440</v>
      </c>
      <c r="D22" s="19" t="s">
        <v>272</v>
      </c>
      <c r="E22" s="19" t="s">
        <v>1459</v>
      </c>
      <c r="F22" s="20" t="s">
        <v>1442</v>
      </c>
      <c r="G22" s="21">
        <v>45278</v>
      </c>
      <c r="H22" s="20" t="s">
        <v>1443</v>
      </c>
      <c r="I22" s="20" t="s">
        <v>1442</v>
      </c>
      <c r="J22" s="20" t="s">
        <v>1444</v>
      </c>
      <c r="K22" s="20" t="s">
        <v>1451</v>
      </c>
      <c r="L22" s="20"/>
      <c r="M22" s="20" t="s">
        <v>1446</v>
      </c>
      <c r="N22" s="22">
        <v>33597975</v>
      </c>
      <c r="O22" s="23">
        <v>1</v>
      </c>
      <c r="P22" s="20" t="s">
        <v>1447</v>
      </c>
      <c r="Q22" s="20" t="s">
        <v>1448</v>
      </c>
      <c r="R22" s="20" t="s">
        <v>1449</v>
      </c>
      <c r="S22" s="20" t="s">
        <v>1449</v>
      </c>
      <c r="T22" s="24"/>
    </row>
    <row r="23" ht="18" customHeight="1" spans="1:20">
      <c r="A23" s="25"/>
      <c r="B23" s="25"/>
      <c r="C23" s="25"/>
      <c r="D23" s="25"/>
      <c r="E23" s="25"/>
      <c r="F23" s="25"/>
      <c r="G23" s="25"/>
      <c r="H23" s="25"/>
      <c r="I23" s="25"/>
      <c r="J23" s="25"/>
      <c r="K23" s="25"/>
      <c r="L23" s="25"/>
      <c r="M23" s="25"/>
      <c r="N23" s="26">
        <v>42179610</v>
      </c>
      <c r="O23" s="25"/>
      <c r="P23" s="25"/>
      <c r="Q23" s="25"/>
      <c r="R23" s="25"/>
      <c r="S23" s="25"/>
      <c r="T23" s="25"/>
    </row>
    <row r="24" ht="18" customHeight="1" spans="1:20">
      <c r="A24" s="25"/>
      <c r="B24" s="25"/>
      <c r="C24" s="25"/>
      <c r="D24" s="25"/>
      <c r="E24" s="25"/>
      <c r="F24" s="25"/>
      <c r="G24" s="25"/>
      <c r="H24" s="25"/>
      <c r="I24" s="25"/>
      <c r="J24" s="25"/>
      <c r="K24" s="25"/>
      <c r="L24" s="25"/>
      <c r="M24" s="25"/>
      <c r="N24" s="25"/>
      <c r="O24" s="25"/>
      <c r="P24" s="25"/>
      <c r="Q24" s="25"/>
      <c r="R24" s="25"/>
      <c r="S24" s="25"/>
      <c r="T24" s="25"/>
    </row>
    <row r="25" ht="18" customHeight="1" spans="1:20">
      <c r="A25" s="25"/>
      <c r="B25" s="25"/>
      <c r="C25" s="25"/>
      <c r="D25" s="25"/>
      <c r="E25" s="25"/>
      <c r="F25" s="25"/>
      <c r="G25" s="25"/>
      <c r="H25" s="25"/>
      <c r="I25" s="25"/>
      <c r="J25" s="25"/>
      <c r="K25" s="25"/>
      <c r="L25" s="25"/>
      <c r="M25" s="25"/>
      <c r="N25" s="25"/>
      <c r="O25" s="25"/>
      <c r="P25" s="25"/>
      <c r="Q25" s="25"/>
      <c r="R25" s="25"/>
      <c r="S25" s="25"/>
      <c r="T25" s="25"/>
    </row>
    <row r="26" ht="18" customHeight="1" spans="1:20">
      <c r="A26" s="1"/>
      <c r="B26" s="1"/>
      <c r="C26" s="1"/>
      <c r="D26" s="1"/>
      <c r="E26" s="1"/>
      <c r="F26" s="1"/>
      <c r="G26" s="1"/>
      <c r="H26" s="1"/>
      <c r="I26" s="1"/>
      <c r="J26" s="1"/>
      <c r="K26" s="1"/>
      <c r="L26" s="1"/>
      <c r="M26" s="1"/>
      <c r="N26" s="1"/>
      <c r="O26" s="1"/>
      <c r="P26" s="1"/>
      <c r="Q26" s="1"/>
      <c r="R26" s="1"/>
      <c r="S26" s="1"/>
      <c r="T26" s="1"/>
    </row>
    <row r="27" ht="18" customHeight="1" spans="1:20">
      <c r="A27" s="2" t="s">
        <v>1420</v>
      </c>
      <c r="B27" s="2" t="s">
        <v>1421</v>
      </c>
      <c r="C27" s="2" t="s">
        <v>1422</v>
      </c>
      <c r="D27" s="2" t="s">
        <v>1423</v>
      </c>
      <c r="E27" s="2" t="s">
        <v>67</v>
      </c>
      <c r="F27" s="2" t="s">
        <v>1424</v>
      </c>
      <c r="G27" s="2" t="s">
        <v>1425</v>
      </c>
      <c r="H27" s="2" t="s">
        <v>1426</v>
      </c>
      <c r="I27" s="2" t="s">
        <v>1427</v>
      </c>
      <c r="J27" s="2" t="s">
        <v>1428</v>
      </c>
      <c r="K27" s="2" t="s">
        <v>1429</v>
      </c>
      <c r="L27" s="2" t="s">
        <v>1430</v>
      </c>
      <c r="M27" s="2" t="s">
        <v>1431</v>
      </c>
      <c r="N27" s="2" t="s">
        <v>1432</v>
      </c>
      <c r="O27" s="2" t="s">
        <v>1433</v>
      </c>
      <c r="P27" s="2"/>
      <c r="Q27" s="2" t="s">
        <v>77</v>
      </c>
      <c r="R27" s="2" t="s">
        <v>1434</v>
      </c>
      <c r="S27" s="2" t="s">
        <v>1435</v>
      </c>
      <c r="T27" s="2" t="s">
        <v>1436</v>
      </c>
    </row>
    <row r="28" ht="18" customHeight="1" spans="1:20">
      <c r="A28" s="1"/>
      <c r="B28" s="1"/>
      <c r="C28" s="1"/>
      <c r="D28" s="1"/>
      <c r="E28" s="1"/>
      <c r="F28" s="1"/>
      <c r="G28" s="1"/>
      <c r="H28" s="1"/>
      <c r="I28" s="1"/>
      <c r="J28" s="1"/>
      <c r="K28" s="1"/>
      <c r="L28" s="1"/>
      <c r="M28" s="1"/>
      <c r="N28" s="1"/>
      <c r="O28" s="1"/>
      <c r="P28" s="1"/>
      <c r="Q28" s="1"/>
      <c r="R28" s="1"/>
      <c r="S28" s="1"/>
      <c r="T28" s="1"/>
    </row>
    <row r="29" ht="18" customHeight="1" spans="1:20">
      <c r="A29" s="4" t="s">
        <v>1462</v>
      </c>
      <c r="B29" s="5" t="s">
        <v>1439</v>
      </c>
      <c r="C29" s="5" t="s">
        <v>1440</v>
      </c>
      <c r="D29" s="5" t="s">
        <v>283</v>
      </c>
      <c r="E29" s="5" t="s">
        <v>1463</v>
      </c>
      <c r="F29" s="6" t="s">
        <v>1442</v>
      </c>
      <c r="G29" s="7">
        <v>45266</v>
      </c>
      <c r="H29" s="6" t="s">
        <v>1455</v>
      </c>
      <c r="I29" s="6" t="s">
        <v>1442</v>
      </c>
      <c r="J29" s="6" t="s">
        <v>1444</v>
      </c>
      <c r="K29" s="6" t="s">
        <v>1464</v>
      </c>
      <c r="L29" s="6"/>
      <c r="M29" s="6" t="s">
        <v>1446</v>
      </c>
      <c r="N29" s="8">
        <v>98000</v>
      </c>
      <c r="O29" s="27">
        <v>0.9</v>
      </c>
      <c r="P29" s="28">
        <v>88200</v>
      </c>
      <c r="Q29" s="6" t="s">
        <v>1447</v>
      </c>
      <c r="R29" s="6" t="s">
        <v>1448</v>
      </c>
      <c r="S29" s="6" t="s">
        <v>1449</v>
      </c>
      <c r="T29" s="6" t="s">
        <v>1449</v>
      </c>
    </row>
    <row r="30" ht="18" customHeight="1" spans="1:20">
      <c r="A30" s="11" t="s">
        <v>1465</v>
      </c>
      <c r="B30" s="12" t="s">
        <v>1439</v>
      </c>
      <c r="C30" s="12" t="s">
        <v>1440</v>
      </c>
      <c r="D30" s="12" t="s">
        <v>283</v>
      </c>
      <c r="E30" s="12" t="s">
        <v>1463</v>
      </c>
      <c r="F30" s="13" t="s">
        <v>1442</v>
      </c>
      <c r="G30" s="14">
        <v>45268</v>
      </c>
      <c r="H30" s="13" t="s">
        <v>1455</v>
      </c>
      <c r="I30" s="13" t="s">
        <v>1442</v>
      </c>
      <c r="J30" s="13" t="s">
        <v>1444</v>
      </c>
      <c r="K30" s="13" t="s">
        <v>1466</v>
      </c>
      <c r="L30" s="13"/>
      <c r="M30" s="13" t="s">
        <v>1446</v>
      </c>
      <c r="N30" s="15">
        <v>449700</v>
      </c>
      <c r="O30" s="16">
        <v>1</v>
      </c>
      <c r="P30" s="28">
        <v>449700</v>
      </c>
      <c r="Q30" s="13" t="s">
        <v>1447</v>
      </c>
      <c r="R30" s="13" t="s">
        <v>1448</v>
      </c>
      <c r="S30" s="13" t="s">
        <v>1449</v>
      </c>
      <c r="T30" s="13" t="s">
        <v>1449</v>
      </c>
    </row>
    <row r="31" ht="18" customHeight="1" spans="1:20">
      <c r="A31" s="4" t="s">
        <v>1467</v>
      </c>
      <c r="B31" s="5" t="s">
        <v>1439</v>
      </c>
      <c r="C31" s="5" t="s">
        <v>1440</v>
      </c>
      <c r="D31" s="5" t="s">
        <v>283</v>
      </c>
      <c r="E31" s="5" t="s">
        <v>1463</v>
      </c>
      <c r="F31" s="6" t="s">
        <v>1442</v>
      </c>
      <c r="G31" s="7">
        <v>45259</v>
      </c>
      <c r="H31" s="6" t="s">
        <v>1455</v>
      </c>
      <c r="I31" s="6" t="s">
        <v>1442</v>
      </c>
      <c r="J31" s="6" t="s">
        <v>1444</v>
      </c>
      <c r="K31" s="6" t="s">
        <v>1468</v>
      </c>
      <c r="L31" s="6"/>
      <c r="M31" s="6" t="s">
        <v>1446</v>
      </c>
      <c r="N31" s="8">
        <v>13800</v>
      </c>
      <c r="O31" s="27">
        <v>1</v>
      </c>
      <c r="P31" s="28">
        <v>13800</v>
      </c>
      <c r="Q31" s="6" t="s">
        <v>1447</v>
      </c>
      <c r="R31" s="6" t="s">
        <v>1448</v>
      </c>
      <c r="S31" s="6" t="s">
        <v>1449</v>
      </c>
      <c r="T31" s="6" t="s">
        <v>1449</v>
      </c>
    </row>
    <row r="32" ht="18" customHeight="1" spans="1:20">
      <c r="A32" s="11" t="s">
        <v>1469</v>
      </c>
      <c r="B32" s="12" t="s">
        <v>1439</v>
      </c>
      <c r="C32" s="12" t="s">
        <v>1440</v>
      </c>
      <c r="D32" s="12" t="s">
        <v>283</v>
      </c>
      <c r="E32" s="12" t="s">
        <v>1463</v>
      </c>
      <c r="F32" s="13" t="s">
        <v>1442</v>
      </c>
      <c r="G32" s="14">
        <v>45260</v>
      </c>
      <c r="H32" s="13" t="s">
        <v>1455</v>
      </c>
      <c r="I32" s="13" t="s">
        <v>1442</v>
      </c>
      <c r="J32" s="13" t="s">
        <v>1444</v>
      </c>
      <c r="K32" s="13" t="s">
        <v>1470</v>
      </c>
      <c r="L32" s="13"/>
      <c r="M32" s="13" t="s">
        <v>1446</v>
      </c>
      <c r="N32" s="15">
        <v>24700</v>
      </c>
      <c r="O32" s="16">
        <v>1</v>
      </c>
      <c r="P32" s="28">
        <v>24700</v>
      </c>
      <c r="Q32" s="13" t="s">
        <v>1447</v>
      </c>
      <c r="R32" s="13" t="s">
        <v>1448</v>
      </c>
      <c r="S32" s="13" t="s">
        <v>1449</v>
      </c>
      <c r="T32" s="13" t="s">
        <v>1449</v>
      </c>
    </row>
    <row r="33" ht="18" customHeight="1" spans="1:20">
      <c r="A33" s="4" t="s">
        <v>1471</v>
      </c>
      <c r="B33" s="5" t="s">
        <v>1439</v>
      </c>
      <c r="C33" s="5" t="s">
        <v>1440</v>
      </c>
      <c r="D33" s="5" t="s">
        <v>283</v>
      </c>
      <c r="E33" s="5" t="s">
        <v>1463</v>
      </c>
      <c r="F33" s="6" t="s">
        <v>1442</v>
      </c>
      <c r="G33" s="7">
        <v>45260</v>
      </c>
      <c r="H33" s="6" t="s">
        <v>1455</v>
      </c>
      <c r="I33" s="6" t="s">
        <v>1442</v>
      </c>
      <c r="J33" s="6" t="s">
        <v>1444</v>
      </c>
      <c r="K33" s="6" t="s">
        <v>1472</v>
      </c>
      <c r="L33" s="6"/>
      <c r="M33" s="6" t="s">
        <v>1446</v>
      </c>
      <c r="N33" s="8">
        <v>700000</v>
      </c>
      <c r="O33" s="27">
        <v>0.9</v>
      </c>
      <c r="P33" s="28">
        <v>630000</v>
      </c>
      <c r="Q33" s="6" t="s">
        <v>1447</v>
      </c>
      <c r="R33" s="6" t="s">
        <v>1448</v>
      </c>
      <c r="S33" s="6" t="s">
        <v>1449</v>
      </c>
      <c r="T33" s="6" t="s">
        <v>1449</v>
      </c>
    </row>
    <row r="34" ht="18" customHeight="1" spans="1:20">
      <c r="A34" s="11" t="s">
        <v>1473</v>
      </c>
      <c r="B34" s="12" t="s">
        <v>1439</v>
      </c>
      <c r="C34" s="12" t="s">
        <v>1440</v>
      </c>
      <c r="D34" s="12" t="s">
        <v>283</v>
      </c>
      <c r="E34" s="12" t="s">
        <v>1463</v>
      </c>
      <c r="F34" s="13" t="s">
        <v>1442</v>
      </c>
      <c r="G34" s="14">
        <v>45260</v>
      </c>
      <c r="H34" s="13" t="s">
        <v>1455</v>
      </c>
      <c r="I34" s="13" t="s">
        <v>1442</v>
      </c>
      <c r="J34" s="13" t="s">
        <v>1444</v>
      </c>
      <c r="K34" s="13" t="s">
        <v>1474</v>
      </c>
      <c r="L34" s="13"/>
      <c r="M34" s="13" t="s">
        <v>1446</v>
      </c>
      <c r="N34" s="15">
        <v>720680</v>
      </c>
      <c r="O34" s="16">
        <v>1</v>
      </c>
      <c r="P34" s="28">
        <v>720680</v>
      </c>
      <c r="Q34" s="13" t="s">
        <v>1447</v>
      </c>
      <c r="R34" s="13" t="s">
        <v>1448</v>
      </c>
      <c r="S34" s="13" t="s">
        <v>1449</v>
      </c>
      <c r="T34" s="13" t="s">
        <v>1449</v>
      </c>
    </row>
    <row r="35" ht="18" customHeight="1" spans="1:20">
      <c r="A35" s="4" t="s">
        <v>1475</v>
      </c>
      <c r="B35" s="5" t="s">
        <v>1439</v>
      </c>
      <c r="C35" s="5" t="s">
        <v>1440</v>
      </c>
      <c r="D35" s="5" t="s">
        <v>283</v>
      </c>
      <c r="E35" s="5" t="s">
        <v>1463</v>
      </c>
      <c r="F35" s="6" t="s">
        <v>1442</v>
      </c>
      <c r="G35" s="7">
        <v>45260</v>
      </c>
      <c r="H35" s="6" t="s">
        <v>1455</v>
      </c>
      <c r="I35" s="6" t="s">
        <v>1442</v>
      </c>
      <c r="J35" s="6" t="s">
        <v>1444</v>
      </c>
      <c r="K35" s="6" t="s">
        <v>1476</v>
      </c>
      <c r="L35" s="6"/>
      <c r="M35" s="6" t="s">
        <v>1446</v>
      </c>
      <c r="N35" s="8">
        <v>550000</v>
      </c>
      <c r="O35" s="27">
        <v>0.5</v>
      </c>
      <c r="P35" s="28">
        <v>275000</v>
      </c>
      <c r="Q35" s="6" t="s">
        <v>1447</v>
      </c>
      <c r="R35" s="6" t="s">
        <v>1448</v>
      </c>
      <c r="S35" s="6" t="s">
        <v>1449</v>
      </c>
      <c r="T35" s="6" t="s">
        <v>1449</v>
      </c>
    </row>
    <row r="36" ht="18" customHeight="1" spans="1:20">
      <c r="A36" s="11" t="s">
        <v>1477</v>
      </c>
      <c r="B36" s="12" t="s">
        <v>1439</v>
      </c>
      <c r="C36" s="12" t="s">
        <v>1440</v>
      </c>
      <c r="D36" s="12" t="s">
        <v>283</v>
      </c>
      <c r="E36" s="12" t="s">
        <v>1463</v>
      </c>
      <c r="F36" s="13" t="s">
        <v>1442</v>
      </c>
      <c r="G36" s="14">
        <v>45260</v>
      </c>
      <c r="H36" s="13" t="s">
        <v>1455</v>
      </c>
      <c r="I36" s="13" t="s">
        <v>1442</v>
      </c>
      <c r="J36" s="13" t="s">
        <v>1444</v>
      </c>
      <c r="K36" s="13" t="s">
        <v>1478</v>
      </c>
      <c r="L36" s="13"/>
      <c r="M36" s="13" t="s">
        <v>1446</v>
      </c>
      <c r="N36" s="15">
        <v>1400000</v>
      </c>
      <c r="O36" s="16">
        <v>0.9</v>
      </c>
      <c r="P36" s="28" t="s">
        <v>1479</v>
      </c>
      <c r="Q36" s="13" t="s">
        <v>1447</v>
      </c>
      <c r="R36" s="13" t="s">
        <v>1448</v>
      </c>
      <c r="S36" s="13" t="s">
        <v>1449</v>
      </c>
      <c r="T36" s="13" t="s">
        <v>1449</v>
      </c>
    </row>
    <row r="37" ht="18" customHeight="1" spans="1:20">
      <c r="A37" s="4" t="s">
        <v>1480</v>
      </c>
      <c r="B37" s="5" t="s">
        <v>1439</v>
      </c>
      <c r="C37" s="5" t="s">
        <v>1440</v>
      </c>
      <c r="D37" s="5" t="s">
        <v>283</v>
      </c>
      <c r="E37" s="5" t="s">
        <v>1463</v>
      </c>
      <c r="F37" s="6" t="s">
        <v>1442</v>
      </c>
      <c r="G37" s="7">
        <v>45265</v>
      </c>
      <c r="H37" s="6" t="s">
        <v>1455</v>
      </c>
      <c r="I37" s="6" t="s">
        <v>1442</v>
      </c>
      <c r="J37" s="6" t="s">
        <v>1444</v>
      </c>
      <c r="K37" s="6" t="s">
        <v>1481</v>
      </c>
      <c r="L37" s="6"/>
      <c r="M37" s="6" t="s">
        <v>1446</v>
      </c>
      <c r="N37" s="8">
        <v>882000</v>
      </c>
      <c r="O37" s="27">
        <v>0.9</v>
      </c>
      <c r="P37" s="28">
        <v>793800</v>
      </c>
      <c r="Q37" s="6" t="s">
        <v>1447</v>
      </c>
      <c r="R37" s="6" t="s">
        <v>1448</v>
      </c>
      <c r="S37" s="6" t="s">
        <v>1449</v>
      </c>
      <c r="T37" s="6" t="s">
        <v>1449</v>
      </c>
    </row>
    <row r="38" ht="18" customHeight="1" spans="1:20">
      <c r="A38" s="11" t="s">
        <v>1482</v>
      </c>
      <c r="B38" s="12" t="s">
        <v>1439</v>
      </c>
      <c r="C38" s="12" t="s">
        <v>1440</v>
      </c>
      <c r="D38" s="12" t="s">
        <v>283</v>
      </c>
      <c r="E38" s="12" t="s">
        <v>1463</v>
      </c>
      <c r="F38" s="13" t="s">
        <v>1442</v>
      </c>
      <c r="G38" s="14">
        <v>45260</v>
      </c>
      <c r="H38" s="13" t="s">
        <v>1455</v>
      </c>
      <c r="I38" s="13" t="s">
        <v>1442</v>
      </c>
      <c r="J38" s="13" t="s">
        <v>1444</v>
      </c>
      <c r="K38" s="13" t="s">
        <v>1483</v>
      </c>
      <c r="L38" s="13"/>
      <c r="M38" s="13" t="s">
        <v>1446</v>
      </c>
      <c r="N38" s="15">
        <v>595000</v>
      </c>
      <c r="O38" s="16">
        <v>0.6</v>
      </c>
      <c r="P38" s="28">
        <v>357000</v>
      </c>
      <c r="Q38" s="13" t="s">
        <v>1447</v>
      </c>
      <c r="R38" s="13" t="s">
        <v>1448</v>
      </c>
      <c r="S38" s="13" t="s">
        <v>1449</v>
      </c>
      <c r="T38" s="13" t="s">
        <v>1449</v>
      </c>
    </row>
    <row r="39" ht="18" customHeight="1" spans="1:20">
      <c r="A39" s="4" t="s">
        <v>1484</v>
      </c>
      <c r="B39" s="5" t="s">
        <v>1439</v>
      </c>
      <c r="C39" s="5" t="s">
        <v>1440</v>
      </c>
      <c r="D39" s="5" t="s">
        <v>283</v>
      </c>
      <c r="E39" s="5" t="s">
        <v>1463</v>
      </c>
      <c r="F39" s="6" t="s">
        <v>1442</v>
      </c>
      <c r="G39" s="7">
        <v>45260</v>
      </c>
      <c r="H39" s="6" t="s">
        <v>1455</v>
      </c>
      <c r="I39" s="6" t="s">
        <v>1442</v>
      </c>
      <c r="J39" s="6" t="s">
        <v>1444</v>
      </c>
      <c r="K39" s="6" t="s">
        <v>1485</v>
      </c>
      <c r="L39" s="6"/>
      <c r="M39" s="6" t="s">
        <v>1446</v>
      </c>
      <c r="N39" s="8">
        <v>1102000</v>
      </c>
      <c r="O39" s="9">
        <v>0.9636</v>
      </c>
      <c r="P39" s="28" t="s">
        <v>1486</v>
      </c>
      <c r="Q39" s="6" t="s">
        <v>1447</v>
      </c>
      <c r="R39" s="6" t="s">
        <v>1448</v>
      </c>
      <c r="S39" s="6" t="s">
        <v>1449</v>
      </c>
      <c r="T39" s="6" t="s">
        <v>1449</v>
      </c>
    </row>
    <row r="40" ht="18" customHeight="1" spans="1:20">
      <c r="A40" s="18" t="s">
        <v>1487</v>
      </c>
      <c r="B40" s="19" t="s">
        <v>1439</v>
      </c>
      <c r="C40" s="19" t="s">
        <v>1440</v>
      </c>
      <c r="D40" s="19" t="s">
        <v>283</v>
      </c>
      <c r="E40" s="19" t="s">
        <v>1463</v>
      </c>
      <c r="F40" s="20" t="s">
        <v>1442</v>
      </c>
      <c r="G40" s="21">
        <v>45260</v>
      </c>
      <c r="H40" s="20" t="s">
        <v>1455</v>
      </c>
      <c r="I40" s="20" t="s">
        <v>1442</v>
      </c>
      <c r="J40" s="20" t="s">
        <v>1444</v>
      </c>
      <c r="K40" s="20" t="s">
        <v>1488</v>
      </c>
      <c r="L40" s="20"/>
      <c r="M40" s="20" t="s">
        <v>1446</v>
      </c>
      <c r="N40" s="22">
        <v>1420000</v>
      </c>
      <c r="O40" s="23">
        <v>0.95</v>
      </c>
      <c r="P40" s="28" t="s">
        <v>1489</v>
      </c>
      <c r="Q40" s="20" t="s">
        <v>1447</v>
      </c>
      <c r="R40" s="20" t="s">
        <v>1448</v>
      </c>
      <c r="S40" s="20" t="s">
        <v>1449</v>
      </c>
      <c r="T40" s="20" t="s">
        <v>1449</v>
      </c>
    </row>
    <row r="41" ht="18" customHeight="1" spans="1:20">
      <c r="A41" s="25"/>
      <c r="B41" s="25"/>
      <c r="C41" s="25"/>
      <c r="D41" s="25"/>
      <c r="E41" s="25"/>
      <c r="F41" s="25"/>
      <c r="G41" s="25"/>
      <c r="H41" s="25"/>
      <c r="I41" s="25"/>
      <c r="J41" s="25"/>
      <c r="K41" s="25"/>
      <c r="L41" s="25"/>
      <c r="M41" s="25"/>
      <c r="N41" s="26">
        <v>7955880</v>
      </c>
      <c r="O41" s="25"/>
      <c r="P41" s="29" t="s">
        <v>1490</v>
      </c>
      <c r="Q41" s="25"/>
      <c r="R41" s="25"/>
      <c r="S41" s="25"/>
      <c r="T41" s="25"/>
    </row>
    <row r="42" ht="18" customHeight="1" spans="1:20">
      <c r="A42" s="25"/>
      <c r="B42" s="25"/>
      <c r="C42" s="25"/>
      <c r="D42" s="25"/>
      <c r="E42" s="25"/>
      <c r="F42" s="25"/>
      <c r="G42" s="25"/>
      <c r="H42" s="25"/>
      <c r="I42" s="25"/>
      <c r="J42" s="25"/>
      <c r="K42" s="25"/>
      <c r="L42" s="25"/>
      <c r="M42" s="25"/>
      <c r="N42" s="25"/>
      <c r="O42" s="25"/>
      <c r="P42" s="25"/>
      <c r="Q42" s="25"/>
      <c r="R42" s="25"/>
      <c r="S42" s="25"/>
      <c r="T42" s="25"/>
    </row>
    <row r="43" ht="18" customHeight="1" spans="1:20">
      <c r="A43" s="1"/>
      <c r="B43" s="1"/>
      <c r="C43" s="1"/>
      <c r="D43" s="1"/>
      <c r="E43" s="1"/>
      <c r="F43" s="1"/>
      <c r="G43" s="1"/>
      <c r="H43" s="1"/>
      <c r="I43" s="1"/>
      <c r="J43" s="1"/>
      <c r="K43" s="1"/>
      <c r="L43" s="1"/>
      <c r="M43" s="1"/>
      <c r="N43" s="1"/>
      <c r="O43" s="1"/>
      <c r="P43" s="1"/>
      <c r="Q43" s="1"/>
      <c r="R43" s="1"/>
      <c r="S43" s="1"/>
      <c r="T43" s="1"/>
    </row>
    <row r="44" ht="18" customHeight="1" spans="1:20">
      <c r="A44" s="1"/>
      <c r="B44" s="1"/>
      <c r="C44" s="1"/>
      <c r="D44" s="1"/>
      <c r="E44" s="1"/>
      <c r="F44" s="1"/>
      <c r="G44" s="1"/>
      <c r="H44" s="1"/>
      <c r="I44" s="1"/>
      <c r="J44" s="1"/>
      <c r="K44" s="1"/>
      <c r="L44" s="1"/>
      <c r="M44" s="1"/>
      <c r="N44" s="1"/>
      <c r="O44" s="1"/>
      <c r="P44" s="1"/>
      <c r="Q44" s="1"/>
      <c r="R44" s="1"/>
      <c r="S44" s="1"/>
      <c r="T44" s="1"/>
    </row>
    <row r="45" ht="18" customHeight="1" spans="1:20">
      <c r="A45" s="2" t="s">
        <v>1420</v>
      </c>
      <c r="B45" s="2" t="s">
        <v>1421</v>
      </c>
      <c r="C45" s="2" t="s">
        <v>1422</v>
      </c>
      <c r="D45" s="2" t="s">
        <v>1423</v>
      </c>
      <c r="E45" s="2" t="s">
        <v>67</v>
      </c>
      <c r="F45" s="2" t="s">
        <v>1424</v>
      </c>
      <c r="G45" s="2" t="s">
        <v>1425</v>
      </c>
      <c r="H45" s="2" t="s">
        <v>1426</v>
      </c>
      <c r="I45" s="2" t="s">
        <v>1427</v>
      </c>
      <c r="J45" s="2" t="s">
        <v>1428</v>
      </c>
      <c r="K45" s="2" t="s">
        <v>1429</v>
      </c>
      <c r="L45" s="2" t="s">
        <v>1430</v>
      </c>
      <c r="M45" s="2" t="s">
        <v>1431</v>
      </c>
      <c r="N45" s="2" t="s">
        <v>1432</v>
      </c>
      <c r="O45" s="2" t="s">
        <v>1433</v>
      </c>
      <c r="P45" s="2" t="s">
        <v>77</v>
      </c>
      <c r="Q45" s="2" t="s">
        <v>1434</v>
      </c>
      <c r="R45" s="2" t="s">
        <v>1435</v>
      </c>
      <c r="S45" s="2" t="s">
        <v>1436</v>
      </c>
      <c r="T45" s="3" t="s">
        <v>1437</v>
      </c>
    </row>
    <row r="46" ht="18" customHeight="1" spans="1:20">
      <c r="A46" s="1"/>
      <c r="B46" s="1"/>
      <c r="C46" s="1"/>
      <c r="D46" s="1"/>
      <c r="E46" s="1"/>
      <c r="F46" s="1"/>
      <c r="G46" s="1"/>
      <c r="H46" s="1"/>
      <c r="I46" s="1"/>
      <c r="J46" s="1"/>
      <c r="K46" s="1"/>
      <c r="L46" s="1"/>
      <c r="M46" s="1"/>
      <c r="N46" s="1"/>
      <c r="O46" s="1"/>
      <c r="P46" s="1"/>
      <c r="Q46" s="1"/>
      <c r="R46" s="1"/>
      <c r="S46" s="1"/>
      <c r="T46" s="1"/>
    </row>
    <row r="47" ht="18" customHeight="1" spans="1:20">
      <c r="A47" s="30" t="s">
        <v>1491</v>
      </c>
      <c r="B47" s="5" t="s">
        <v>1439</v>
      </c>
      <c r="C47" s="5" t="s">
        <v>1440</v>
      </c>
      <c r="D47" s="5" t="s">
        <v>292</v>
      </c>
      <c r="E47" s="5" t="s">
        <v>289</v>
      </c>
      <c r="F47" s="6" t="s">
        <v>1442</v>
      </c>
      <c r="G47" s="7">
        <v>45410</v>
      </c>
      <c r="H47" s="6" t="s">
        <v>1443</v>
      </c>
      <c r="I47" s="6" t="s">
        <v>1442</v>
      </c>
      <c r="J47" s="6" t="s">
        <v>1444</v>
      </c>
      <c r="K47" s="6" t="s">
        <v>1445</v>
      </c>
      <c r="L47" s="6"/>
      <c r="M47" s="6" t="s">
        <v>1446</v>
      </c>
      <c r="N47" s="8">
        <v>4615400</v>
      </c>
      <c r="O47" s="27">
        <v>1</v>
      </c>
      <c r="P47" s="6" t="s">
        <v>1447</v>
      </c>
      <c r="Q47" s="6" t="s">
        <v>1448</v>
      </c>
      <c r="R47" s="6" t="s">
        <v>1449</v>
      </c>
      <c r="S47" s="6" t="s">
        <v>1449</v>
      </c>
      <c r="T47" s="10" t="s">
        <v>1439</v>
      </c>
    </row>
    <row r="48" ht="18" customHeight="1" spans="1:20">
      <c r="A48" s="31" t="s">
        <v>1492</v>
      </c>
      <c r="B48" s="12" t="s">
        <v>1439</v>
      </c>
      <c r="C48" s="12" t="s">
        <v>1440</v>
      </c>
      <c r="D48" s="12" t="s">
        <v>292</v>
      </c>
      <c r="E48" s="12" t="s">
        <v>289</v>
      </c>
      <c r="F48" s="13" t="s">
        <v>1442</v>
      </c>
      <c r="G48" s="14">
        <v>45408</v>
      </c>
      <c r="H48" s="13" t="s">
        <v>1443</v>
      </c>
      <c r="I48" s="13" t="s">
        <v>1442</v>
      </c>
      <c r="J48" s="13" t="s">
        <v>1444</v>
      </c>
      <c r="K48" s="13" t="s">
        <v>1451</v>
      </c>
      <c r="L48" s="13"/>
      <c r="M48" s="13" t="s">
        <v>1446</v>
      </c>
      <c r="N48" s="15">
        <v>1460460</v>
      </c>
      <c r="O48" s="16">
        <v>1</v>
      </c>
      <c r="P48" s="13" t="s">
        <v>1447</v>
      </c>
      <c r="Q48" s="13" t="s">
        <v>1448</v>
      </c>
      <c r="R48" s="13" t="s">
        <v>1449</v>
      </c>
      <c r="S48" s="13" t="s">
        <v>1449</v>
      </c>
      <c r="T48" s="17" t="s">
        <v>1439</v>
      </c>
    </row>
    <row r="49" ht="18" customHeight="1" spans="1:20">
      <c r="A49" s="32" t="s">
        <v>1493</v>
      </c>
      <c r="B49" s="19" t="s">
        <v>1439</v>
      </c>
      <c r="C49" s="19" t="s">
        <v>1440</v>
      </c>
      <c r="D49" s="19" t="s">
        <v>292</v>
      </c>
      <c r="E49" s="19" t="s">
        <v>289</v>
      </c>
      <c r="F49" s="20" t="s">
        <v>1442</v>
      </c>
      <c r="G49" s="21">
        <v>45408</v>
      </c>
      <c r="H49" s="20" t="s">
        <v>1443</v>
      </c>
      <c r="I49" s="20" t="s">
        <v>1442</v>
      </c>
      <c r="J49" s="20" t="s">
        <v>1444</v>
      </c>
      <c r="K49" s="20" t="s">
        <v>1451</v>
      </c>
      <c r="L49" s="20"/>
      <c r="M49" s="20" t="s">
        <v>1446</v>
      </c>
      <c r="N49" s="22">
        <v>23420445</v>
      </c>
      <c r="O49" s="23">
        <v>1</v>
      </c>
      <c r="P49" s="20" t="s">
        <v>1447</v>
      </c>
      <c r="Q49" s="20" t="s">
        <v>1448</v>
      </c>
      <c r="R49" s="20" t="s">
        <v>1449</v>
      </c>
      <c r="S49" s="20" t="s">
        <v>1449</v>
      </c>
      <c r="T49" s="24" t="s">
        <v>1439</v>
      </c>
    </row>
    <row r="50" ht="18" customHeight="1" spans="1:20">
      <c r="A50" s="25"/>
      <c r="B50" s="25"/>
      <c r="C50" s="25"/>
      <c r="D50" s="25"/>
      <c r="E50" s="25"/>
      <c r="F50" s="25"/>
      <c r="G50" s="25"/>
      <c r="H50" s="25"/>
      <c r="I50" s="25"/>
      <c r="J50" s="25"/>
      <c r="K50" s="25"/>
      <c r="L50" s="25"/>
      <c r="M50" s="25"/>
      <c r="N50" s="26">
        <v>29496305</v>
      </c>
      <c r="O50" s="25"/>
      <c r="P50" s="25"/>
      <c r="Q50" s="25"/>
      <c r="R50" s="25"/>
      <c r="S50" s="25"/>
      <c r="T50" s="25"/>
    </row>
    <row r="51" ht="18" customHeight="1" spans="1:20">
      <c r="A51" s="25"/>
      <c r="B51" s="25"/>
      <c r="C51" s="25"/>
      <c r="D51" s="25"/>
      <c r="E51" s="25"/>
      <c r="F51" s="25"/>
      <c r="G51" s="25"/>
      <c r="H51" s="25"/>
      <c r="I51" s="25"/>
      <c r="J51" s="25"/>
      <c r="K51" s="25"/>
      <c r="L51" s="25"/>
      <c r="M51" s="25"/>
      <c r="N51" s="25"/>
      <c r="O51" s="25"/>
      <c r="P51" s="25"/>
      <c r="Q51" s="25"/>
      <c r="R51" s="25"/>
      <c r="S51" s="25"/>
      <c r="T51" s="25"/>
    </row>
    <row r="52" ht="18" customHeight="1" spans="1:20">
      <c r="A52" s="25"/>
      <c r="B52" s="25"/>
      <c r="C52" s="25"/>
      <c r="D52" s="25"/>
      <c r="E52" s="25"/>
      <c r="F52" s="25"/>
      <c r="G52" s="25"/>
      <c r="H52" s="25"/>
      <c r="I52" s="25"/>
      <c r="J52" s="25"/>
      <c r="K52" s="25"/>
      <c r="L52" s="25"/>
      <c r="M52" s="25"/>
      <c r="N52" s="25"/>
      <c r="O52" s="25"/>
      <c r="P52" s="25"/>
      <c r="Q52" s="25"/>
      <c r="R52" s="25"/>
      <c r="S52" s="25"/>
      <c r="T52" s="25"/>
    </row>
    <row r="53" ht="18" customHeight="1" spans="1:20">
      <c r="A53" s="1"/>
      <c r="B53" s="1"/>
      <c r="C53" s="1"/>
      <c r="D53" s="1"/>
      <c r="E53" s="1"/>
      <c r="F53" s="1"/>
      <c r="G53" s="1"/>
      <c r="H53" s="1"/>
      <c r="I53" s="1"/>
      <c r="J53" s="1"/>
      <c r="K53" s="1"/>
      <c r="L53" s="1"/>
      <c r="M53" s="1"/>
      <c r="N53" s="1"/>
      <c r="O53" s="1"/>
      <c r="P53" s="1"/>
      <c r="Q53" s="1"/>
      <c r="R53" s="1"/>
      <c r="S53" s="1"/>
      <c r="T53" s="1"/>
    </row>
    <row r="54" ht="18" customHeight="1" spans="1:20">
      <c r="A54" s="2" t="s">
        <v>1420</v>
      </c>
      <c r="B54" s="2" t="s">
        <v>1421</v>
      </c>
      <c r="C54" s="2" t="s">
        <v>1422</v>
      </c>
      <c r="D54" s="2" t="s">
        <v>1423</v>
      </c>
      <c r="E54" s="2" t="s">
        <v>67</v>
      </c>
      <c r="F54" s="2" t="s">
        <v>1424</v>
      </c>
      <c r="G54" s="2" t="s">
        <v>1425</v>
      </c>
      <c r="H54" s="2" t="s">
        <v>1426</v>
      </c>
      <c r="I54" s="2" t="s">
        <v>1427</v>
      </c>
      <c r="J54" s="2" t="s">
        <v>1428</v>
      </c>
      <c r="K54" s="2" t="s">
        <v>1429</v>
      </c>
      <c r="L54" s="2" t="s">
        <v>1430</v>
      </c>
      <c r="M54" s="2" t="s">
        <v>1431</v>
      </c>
      <c r="N54" s="2" t="s">
        <v>1432</v>
      </c>
      <c r="O54" s="2" t="s">
        <v>1433</v>
      </c>
      <c r="P54" s="2"/>
      <c r="Q54" s="2" t="s">
        <v>77</v>
      </c>
      <c r="R54" s="2" t="s">
        <v>1434</v>
      </c>
      <c r="S54" s="2" t="s">
        <v>1435</v>
      </c>
      <c r="T54" s="2" t="s">
        <v>1436</v>
      </c>
    </row>
    <row r="55" ht="18" customHeight="1" spans="1:20">
      <c r="A55" s="1"/>
      <c r="B55" s="1"/>
      <c r="C55" s="1"/>
      <c r="D55" s="1"/>
      <c r="E55" s="1"/>
      <c r="F55" s="1"/>
      <c r="G55" s="1"/>
      <c r="H55" s="1"/>
      <c r="I55" s="1"/>
      <c r="J55" s="1"/>
      <c r="K55" s="1"/>
      <c r="L55" s="1"/>
      <c r="M55" s="1"/>
      <c r="N55" s="1"/>
      <c r="O55" s="1"/>
      <c r="P55" s="1"/>
      <c r="Q55" s="1"/>
      <c r="R55" s="1"/>
      <c r="S55" s="1"/>
      <c r="T55" s="1"/>
    </row>
    <row r="56" ht="18" customHeight="1" spans="1:20">
      <c r="A56" s="30" t="s">
        <v>1494</v>
      </c>
      <c r="B56" s="5" t="s">
        <v>1439</v>
      </c>
      <c r="C56" s="5" t="s">
        <v>1440</v>
      </c>
      <c r="D56" s="5" t="s">
        <v>324</v>
      </c>
      <c r="E56" s="5" t="s">
        <v>1495</v>
      </c>
      <c r="F56" s="6" t="s">
        <v>1442</v>
      </c>
      <c r="G56" s="7">
        <v>45471</v>
      </c>
      <c r="H56" s="6" t="s">
        <v>1443</v>
      </c>
      <c r="I56" s="6" t="s">
        <v>1442</v>
      </c>
      <c r="J56" s="6" t="s">
        <v>1444</v>
      </c>
      <c r="K56" s="6" t="s">
        <v>1445</v>
      </c>
      <c r="L56" s="6"/>
      <c r="M56" s="6" t="s">
        <v>1446</v>
      </c>
      <c r="N56" s="8">
        <v>6289000</v>
      </c>
      <c r="O56" s="27">
        <v>0.6</v>
      </c>
      <c r="P56" s="28" t="s">
        <v>1496</v>
      </c>
      <c r="Q56" s="6" t="s">
        <v>1447</v>
      </c>
      <c r="R56" s="6" t="s">
        <v>1448</v>
      </c>
      <c r="S56" s="6" t="s">
        <v>1449</v>
      </c>
      <c r="T56" s="6" t="s">
        <v>1449</v>
      </c>
    </row>
    <row r="57" ht="18" customHeight="1" spans="1:20">
      <c r="A57" s="33" t="s">
        <v>1497</v>
      </c>
      <c r="B57" s="34" t="s">
        <v>1439</v>
      </c>
      <c r="C57" s="34" t="s">
        <v>1440</v>
      </c>
      <c r="D57" s="34" t="s">
        <v>324</v>
      </c>
      <c r="E57" s="34" t="s">
        <v>1495</v>
      </c>
      <c r="F57" s="35" t="s">
        <v>1442</v>
      </c>
      <c r="G57" s="36">
        <v>45470</v>
      </c>
      <c r="H57" s="35" t="s">
        <v>1443</v>
      </c>
      <c r="I57" s="35" t="s">
        <v>1442</v>
      </c>
      <c r="J57" s="35" t="s">
        <v>1444</v>
      </c>
      <c r="K57" s="35" t="s">
        <v>1451</v>
      </c>
      <c r="L57" s="35"/>
      <c r="M57" s="35" t="s">
        <v>1446</v>
      </c>
      <c r="N57" s="37">
        <v>12779125</v>
      </c>
      <c r="O57" s="38">
        <v>0.1143</v>
      </c>
      <c r="P57" s="28" t="s">
        <v>1498</v>
      </c>
      <c r="Q57" s="35" t="s">
        <v>1447</v>
      </c>
      <c r="R57" s="35" t="s">
        <v>1448</v>
      </c>
      <c r="S57" s="35" t="s">
        <v>1449</v>
      </c>
      <c r="T57" s="35" t="s">
        <v>1449</v>
      </c>
    </row>
    <row r="58" ht="18" customHeight="1" spans="1:20">
      <c r="A58" s="32" t="s">
        <v>1499</v>
      </c>
      <c r="B58" s="19" t="s">
        <v>1439</v>
      </c>
      <c r="C58" s="19" t="s">
        <v>1440</v>
      </c>
      <c r="D58" s="19" t="s">
        <v>324</v>
      </c>
      <c r="E58" s="19" t="s">
        <v>1495</v>
      </c>
      <c r="F58" s="20" t="s">
        <v>1442</v>
      </c>
      <c r="G58" s="21">
        <v>45471</v>
      </c>
      <c r="H58" s="20" t="s">
        <v>1443</v>
      </c>
      <c r="I58" s="20" t="s">
        <v>1442</v>
      </c>
      <c r="J58" s="20" t="s">
        <v>1444</v>
      </c>
      <c r="K58" s="20" t="s">
        <v>1451</v>
      </c>
      <c r="L58" s="20"/>
      <c r="M58" s="20" t="s">
        <v>1446</v>
      </c>
      <c r="N58" s="22">
        <v>39034075</v>
      </c>
      <c r="O58" s="39"/>
      <c r="P58" s="28">
        <v>0</v>
      </c>
      <c r="Q58" s="20" t="s">
        <v>1447</v>
      </c>
      <c r="R58" s="20" t="s">
        <v>1448</v>
      </c>
      <c r="S58" s="20" t="s">
        <v>1449</v>
      </c>
      <c r="T58" s="20" t="s">
        <v>1449</v>
      </c>
    </row>
    <row r="59" ht="18" customHeight="1" spans="1:20">
      <c r="A59" s="25"/>
      <c r="B59" s="25"/>
      <c r="C59" s="25"/>
      <c r="D59" s="25"/>
      <c r="E59" s="25"/>
      <c r="F59" s="25"/>
      <c r="G59" s="25"/>
      <c r="H59" s="25"/>
      <c r="I59" s="25"/>
      <c r="J59" s="25"/>
      <c r="K59" s="25"/>
      <c r="L59" s="25"/>
      <c r="M59" s="25"/>
      <c r="N59" s="26">
        <v>58102200</v>
      </c>
      <c r="O59" s="25"/>
      <c r="P59" s="29" t="s">
        <v>1500</v>
      </c>
      <c r="Q59" s="25"/>
      <c r="R59" s="25"/>
      <c r="S59" s="25"/>
      <c r="T59" s="25"/>
    </row>
  </sheetData>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7</vt:i4>
      </vt:variant>
    </vt:vector>
  </HeadingPairs>
  <TitlesOfParts>
    <vt:vector size="7" baseType="lpstr">
      <vt:lpstr>Sheet1</vt:lpstr>
      <vt:lpstr>填表说明</vt:lpstr>
      <vt:lpstr>项目预警风险汇总</vt:lpstr>
      <vt:lpstr>OT前置特批跟踪合同</vt:lpstr>
      <vt:lpstr>历史通用审批特批合同</vt:lpstr>
      <vt:lpstr>EMT前置特批拒绝合同</vt:lpstr>
      <vt:lpstr>商务部-采购明细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阳光&amp;斑驳</cp:lastModifiedBy>
  <dcterms:created xsi:type="dcterms:W3CDTF">2026-04-10T09:36:22Z</dcterms:created>
  <dcterms:modified xsi:type="dcterms:W3CDTF">2026-04-10T11:46:21Z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CalculationRule">
    <vt:i4>0</vt:i4>
  </property>
  <property fmtid="{D5CDD505-2E9C-101B-9397-08002B2CF9AE}" pid="4" name="ICV">
    <vt:lpwstr>030904AE7D2A4926A98EBF117CE9B12B_12</vt:lpwstr>
  </property>
</Properties>
</file>